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publishItems="1"/>
  <mc:AlternateContent xmlns:mc="http://schemas.openxmlformats.org/markup-compatibility/2006">
    <mc:Choice Requires="x15">
      <x15ac:absPath xmlns:x15ac="http://schemas.microsoft.com/office/spreadsheetml/2010/11/ac" url="C:\Users\Smart\OneDrive\Desktop\Maven Analytics Course Material\Advanced Dashboard Designs in Excel\advanced-excel-dashboard-design_course_resources\ExcelDashboardDatasets\"/>
    </mc:Choice>
  </mc:AlternateContent>
  <xr:revisionPtr revIDLastSave="0" documentId="13_ncr:1_{AD635F47-2366-4484-A77A-6B431F39E440}" xr6:coauthVersionLast="47" xr6:coauthVersionMax="47" xr10:uidLastSave="{00000000-0000-0000-0000-000000000000}"/>
  <bookViews>
    <workbookView xWindow="28680" yWindow="-120" windowWidth="20640" windowHeight="11040" activeTab="3" xr2:uid="{DB438AB8-0F60-4224-9C67-97043B861F24}"/>
  </bookViews>
  <sheets>
    <sheet name="Data" sheetId="1" r:id="rId1"/>
    <sheet name="State Helper Column" sheetId="3" r:id="rId2"/>
    <sheet name="Data Prep" sheetId="2" r:id="rId3"/>
    <sheet name="Dashboard" sheetId="4" r:id="rId4"/>
  </sheets>
  <definedNames>
    <definedName name="_xlnm._FilterDatabase" localSheetId="0" hidden="1">Data!$A$1:$F$1919</definedName>
    <definedName name="_xlnm._FilterDatabase" localSheetId="2" hidden="1">'Data Prep'!$A$2:$A$12</definedName>
    <definedName name="_xlchart.v6.0" hidden="1">'Data Prep'!$O$2</definedName>
    <definedName name="_xlchart.v6.1" hidden="1">'Data Prep'!$O$3:$O$50</definedName>
    <definedName name="_xlchart.v6.2" hidden="1">'Data Prep'!$T$2</definedName>
    <definedName name="_xlchart.v6.3" hidden="1">'Data Prep'!$T$3:$T$50</definedName>
    <definedName name="Z_948164EF_B902_4A6C_8E3C_A935061C5153_.wvu.FilterData" localSheetId="0" hidden="1">Data!$A$1:$F$1919</definedName>
    <definedName name="Z_A1F01C08_243B_48FC_94A8_F102AEB1706D_.wvu.FilterData" localSheetId="0" hidden="1">Data!$A$1:$F$1919</definedName>
  </definedNames>
  <calcPr calcId="191029"/>
  <customWorkbookViews>
    <customWorkbookView name="ShowAllWorksheets" guid="{A1F01C08-243B-48FC-94A8-F102AEB1706D}" maximized="1" xWindow="-8" yWindow="-8" windowWidth="1936" windowHeight="1056" activeSheetId="8" showFormulaBar="0"/>
    <customWorkbookView name="Dashboard" guid="{948164EF-B902-4A6C-8E3C-A935061C5153}" maximized="1" xWindow="-8" yWindow="-8" windowWidth="1936" windowHeight="1056" activeSheetId="8" showFormulaBar="0"/>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6" i="4" l="1" a="1"/>
  <c r="B6" i="4" s="1"/>
  <c r="B18" i="2"/>
  <c r="T2" i="2" l="1"/>
  <c r="B3" i="2"/>
  <c r="S4" i="2" s="1"/>
  <c r="H22" i="2"/>
  <c r="Q4" i="2" a="1"/>
  <c r="Q4" i="2" s="1"/>
  <c r="Q5" i="2" a="1"/>
  <c r="Q5" i="2" s="1"/>
  <c r="Q6" i="2" a="1"/>
  <c r="Q6" i="2" s="1"/>
  <c r="Q7" i="2" a="1"/>
  <c r="Q7" i="2" s="1"/>
  <c r="Q8" i="2" a="1"/>
  <c r="Q8" i="2" s="1"/>
  <c r="Q9" i="2" a="1"/>
  <c r="Q9" i="2" s="1"/>
  <c r="Q10" i="2" a="1"/>
  <c r="Q10" i="2" s="1"/>
  <c r="Q11" i="2" a="1"/>
  <c r="Q11" i="2" s="1"/>
  <c r="Q12" i="2" a="1"/>
  <c r="Q12" i="2" s="1"/>
  <c r="Q13" i="2" a="1"/>
  <c r="Q13" i="2" s="1"/>
  <c r="Q14" i="2" a="1"/>
  <c r="Q14" i="2" s="1"/>
  <c r="Q15" i="2" a="1"/>
  <c r="Q15" i="2" s="1"/>
  <c r="Q16" i="2" a="1"/>
  <c r="Q16" i="2" s="1"/>
  <c r="Q17" i="2" a="1"/>
  <c r="Q17" i="2" s="1"/>
  <c r="Q18" i="2" a="1"/>
  <c r="Q18" i="2" s="1"/>
  <c r="Q19" i="2" a="1"/>
  <c r="Q19" i="2" s="1"/>
  <c r="Q20" i="2" a="1"/>
  <c r="Q20" i="2" s="1"/>
  <c r="Q21" i="2" a="1"/>
  <c r="Q21" i="2" s="1"/>
  <c r="Q22" i="2" a="1"/>
  <c r="Q22" i="2" s="1"/>
  <c r="Q23" i="2" a="1"/>
  <c r="Q23" i="2" s="1"/>
  <c r="Q24" i="2" a="1"/>
  <c r="Q24" i="2" s="1"/>
  <c r="Q25" i="2" a="1"/>
  <c r="Q25" i="2" s="1"/>
  <c r="Q26" i="2" a="1"/>
  <c r="Q26" i="2" s="1"/>
  <c r="Q27" i="2" a="1"/>
  <c r="Q27" i="2" s="1"/>
  <c r="Q28" i="2" a="1"/>
  <c r="Q28" i="2" s="1"/>
  <c r="Q29" i="2" a="1"/>
  <c r="Q29" i="2" s="1"/>
  <c r="Q30" i="2" a="1"/>
  <c r="Q30" i="2" s="1"/>
  <c r="Q31" i="2" a="1"/>
  <c r="Q31" i="2" s="1"/>
  <c r="Q32" i="2" a="1"/>
  <c r="Q32" i="2" s="1"/>
  <c r="Q33" i="2" a="1"/>
  <c r="Q33" i="2" s="1"/>
  <c r="Q34" i="2" a="1"/>
  <c r="Q34" i="2" s="1"/>
  <c r="Q35" i="2" a="1"/>
  <c r="Q35" i="2" s="1"/>
  <c r="Q36" i="2" a="1"/>
  <c r="Q36" i="2" s="1"/>
  <c r="Q37" i="2" a="1"/>
  <c r="Q37" i="2" s="1"/>
  <c r="Q38" i="2" a="1"/>
  <c r="Q38" i="2" s="1"/>
  <c r="Q39" i="2" a="1"/>
  <c r="Q39" i="2" s="1"/>
  <c r="Q40" i="2" a="1"/>
  <c r="Q40" i="2" s="1"/>
  <c r="Q41" i="2" a="1"/>
  <c r="Q41" i="2" s="1"/>
  <c r="Q42" i="2" a="1"/>
  <c r="Q42" i="2" s="1"/>
  <c r="Q43" i="2" a="1"/>
  <c r="Q43" i="2" s="1"/>
  <c r="Q44" i="2" a="1"/>
  <c r="Q44" i="2" s="1"/>
  <c r="Q45" i="2" a="1"/>
  <c r="Q45" i="2" s="1"/>
  <c r="Q46" i="2" a="1"/>
  <c r="Q46" i="2" s="1"/>
  <c r="Q47" i="2" a="1"/>
  <c r="Q47" i="2" s="1"/>
  <c r="Q48" i="2" a="1"/>
  <c r="Q48" i="2" s="1"/>
  <c r="Q49" i="2" a="1"/>
  <c r="Q49" i="2" s="1"/>
  <c r="Q50" i="2" a="1"/>
  <c r="Q50" i="2" s="1"/>
  <c r="Q3" i="2" a="1"/>
  <c r="Q3" i="2" s="1"/>
  <c r="I9" i="2"/>
  <c r="I4" i="2"/>
  <c r="I8" i="2"/>
  <c r="I11" i="2"/>
  <c r="I6" i="2"/>
  <c r="I7" i="2"/>
  <c r="I12" i="2"/>
  <c r="I10" i="2"/>
  <c r="I3" i="2"/>
  <c r="I5" i="2"/>
  <c r="E7" i="2"/>
  <c r="E9" i="2"/>
  <c r="E4" i="2"/>
  <c r="E3" i="2"/>
  <c r="E12" i="2"/>
  <c r="E6" i="2"/>
  <c r="E8" i="2"/>
  <c r="E11" i="2"/>
  <c r="E10" i="2"/>
  <c r="E5" i="2"/>
  <c r="F3" i="2" l="1"/>
  <c r="F7" i="2"/>
  <c r="F5" i="2"/>
  <c r="F12" i="2"/>
  <c r="F4" i="2"/>
  <c r="F11" i="2"/>
  <c r="F10" i="2"/>
  <c r="F9" i="2"/>
  <c r="F8" i="2"/>
  <c r="F6" i="2"/>
  <c r="H17" i="2"/>
  <c r="P36" i="2"/>
  <c r="R36" i="2" s="1"/>
  <c r="P24" i="2"/>
  <c r="R24" i="2" s="1"/>
  <c r="M6" i="2"/>
  <c r="P18" i="2"/>
  <c r="R18" i="2" s="1"/>
  <c r="P48" i="2"/>
  <c r="R48" i="2" s="1"/>
  <c r="P12" i="2"/>
  <c r="R12" i="2" s="1"/>
  <c r="P30" i="2"/>
  <c r="R30" i="2" s="1"/>
  <c r="L6" i="2"/>
  <c r="P42" i="2"/>
  <c r="R42" i="2" s="1"/>
  <c r="P6" i="2"/>
  <c r="R6" i="2" s="1"/>
  <c r="S47" i="2"/>
  <c r="M4" i="2"/>
  <c r="P46" i="2"/>
  <c r="R46" i="2" s="1"/>
  <c r="P40" i="2"/>
  <c r="R40" i="2" s="1"/>
  <c r="P34" i="2"/>
  <c r="R34" i="2" s="1"/>
  <c r="P28" i="2"/>
  <c r="R28" i="2" s="1"/>
  <c r="P22" i="2"/>
  <c r="R22" i="2" s="1"/>
  <c r="P16" i="2"/>
  <c r="R16" i="2" s="1"/>
  <c r="P10" i="2"/>
  <c r="R10" i="2" s="1"/>
  <c r="P4" i="2"/>
  <c r="R4" i="2" s="1"/>
  <c r="T4" i="2" s="1"/>
  <c r="S45" i="2"/>
  <c r="S39" i="2"/>
  <c r="S33" i="2"/>
  <c r="S27" i="2"/>
  <c r="S21" i="2"/>
  <c r="S15" i="2"/>
  <c r="S9" i="2"/>
  <c r="L5" i="2"/>
  <c r="P45" i="2"/>
  <c r="R45" i="2" s="1"/>
  <c r="P33" i="2"/>
  <c r="R33" i="2" s="1"/>
  <c r="P27" i="2"/>
  <c r="R27" i="2" s="1"/>
  <c r="P21" i="2"/>
  <c r="R21" i="2" s="1"/>
  <c r="P15" i="2"/>
  <c r="R15" i="2" s="1"/>
  <c r="P9" i="2"/>
  <c r="R9" i="2" s="1"/>
  <c r="S50" i="2"/>
  <c r="S44" i="2"/>
  <c r="S38" i="2"/>
  <c r="S32" i="2"/>
  <c r="S26" i="2"/>
  <c r="S20" i="2"/>
  <c r="S14" i="2"/>
  <c r="S8" i="2"/>
  <c r="P3" i="2"/>
  <c r="R3" i="2" s="1"/>
  <c r="P39" i="2"/>
  <c r="R39" i="2" s="1"/>
  <c r="L4" i="2"/>
  <c r="P50" i="2"/>
  <c r="R50" i="2" s="1"/>
  <c r="P44" i="2"/>
  <c r="R44" i="2" s="1"/>
  <c r="P38" i="2"/>
  <c r="R38" i="2" s="1"/>
  <c r="P32" i="2"/>
  <c r="R32" i="2" s="1"/>
  <c r="P26" i="2"/>
  <c r="R26" i="2" s="1"/>
  <c r="P20" i="2"/>
  <c r="R20" i="2" s="1"/>
  <c r="P14" i="2"/>
  <c r="R14" i="2" s="1"/>
  <c r="P8" i="2"/>
  <c r="R8" i="2" s="1"/>
  <c r="S49" i="2"/>
  <c r="S43" i="2"/>
  <c r="S37" i="2"/>
  <c r="S31" i="2"/>
  <c r="S25" i="2"/>
  <c r="S19" i="2"/>
  <c r="S13" i="2"/>
  <c r="S7" i="2"/>
  <c r="M3" i="2"/>
  <c r="P49" i="2"/>
  <c r="R49" i="2" s="1"/>
  <c r="P43" i="2"/>
  <c r="R43" i="2" s="1"/>
  <c r="P37" i="2"/>
  <c r="R37" i="2" s="1"/>
  <c r="P31" i="2"/>
  <c r="R31" i="2" s="1"/>
  <c r="P25" i="2"/>
  <c r="R25" i="2" s="1"/>
  <c r="P19" i="2"/>
  <c r="R19" i="2" s="1"/>
  <c r="P13" i="2"/>
  <c r="R13" i="2" s="1"/>
  <c r="P7" i="2"/>
  <c r="R7" i="2" s="1"/>
  <c r="S48" i="2"/>
  <c r="T48" i="2" s="1"/>
  <c r="S42" i="2"/>
  <c r="S36" i="2"/>
  <c r="S30" i="2"/>
  <c r="S24" i="2"/>
  <c r="S18" i="2"/>
  <c r="S12" i="2"/>
  <c r="S6" i="2"/>
  <c r="S5" i="2"/>
  <c r="S41" i="2"/>
  <c r="S35" i="2"/>
  <c r="S29" i="2"/>
  <c r="S23" i="2"/>
  <c r="S17" i="2"/>
  <c r="S11" i="2"/>
  <c r="L3" i="2"/>
  <c r="M5" i="2"/>
  <c r="P47" i="2"/>
  <c r="R47" i="2" s="1"/>
  <c r="P41" i="2"/>
  <c r="R41" i="2" s="1"/>
  <c r="P35" i="2"/>
  <c r="R35" i="2" s="1"/>
  <c r="P29" i="2"/>
  <c r="R29" i="2" s="1"/>
  <c r="P23" i="2"/>
  <c r="R23" i="2" s="1"/>
  <c r="P17" i="2"/>
  <c r="R17" i="2" s="1"/>
  <c r="P11" i="2"/>
  <c r="R11" i="2" s="1"/>
  <c r="P5" i="2"/>
  <c r="R5" i="2" s="1"/>
  <c r="S3" i="2"/>
  <c r="S46" i="2"/>
  <c r="S40" i="2"/>
  <c r="S34" i="2"/>
  <c r="S28" i="2"/>
  <c r="S22" i="2"/>
  <c r="S16" i="2"/>
  <c r="S10" i="2"/>
  <c r="I17" i="2"/>
  <c r="T3" i="2" l="1"/>
  <c r="T10" i="2"/>
  <c r="T30" i="2"/>
  <c r="T26" i="2"/>
  <c r="T39" i="2"/>
  <c r="T8" i="2"/>
  <c r="T44" i="2"/>
  <c r="I18" i="2"/>
  <c r="I19" i="2" s="1"/>
  <c r="I20" i="2" s="1"/>
  <c r="T37" i="2"/>
  <c r="T41" i="2"/>
  <c r="T47" i="2"/>
  <c r="T13" i="2"/>
  <c r="T49" i="2"/>
  <c r="T20" i="2"/>
  <c r="T15" i="2"/>
  <c r="T27" i="2"/>
  <c r="T32" i="2"/>
  <c r="T23" i="2"/>
  <c r="T19" i="2"/>
  <c r="T50" i="2"/>
  <c r="T45" i="2"/>
  <c r="T31" i="2"/>
  <c r="T11" i="2"/>
  <c r="T5" i="2"/>
  <c r="T36" i="2"/>
  <c r="T7" i="2"/>
  <c r="T43" i="2"/>
  <c r="T38" i="2"/>
  <c r="T16" i="2"/>
  <c r="T46" i="2"/>
  <c r="T21" i="2"/>
  <c r="T17" i="2"/>
  <c r="T6" i="2"/>
  <c r="T42" i="2"/>
  <c r="T9" i="2"/>
  <c r="T22" i="2"/>
  <c r="T12" i="2"/>
  <c r="T14" i="2"/>
  <c r="T33" i="2"/>
  <c r="T28" i="2"/>
  <c r="T29" i="2"/>
  <c r="T18" i="2"/>
  <c r="T25" i="2"/>
  <c r="T34" i="2"/>
  <c r="T35" i="2"/>
  <c r="T24" i="2"/>
  <c r="T40" i="2"/>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96">
    <bk>
      <extLst>
        <ext uri="{3e2802c4-a4d2-4d8b-9148-e3be6c30e623}">
          <xlrd:rvb i="0"/>
        </ext>
      </extLst>
    </bk>
    <bk>
      <extLst>
        <ext uri="{3e2802c4-a4d2-4d8b-9148-e3be6c30e623}">
          <xlrd:rvb i="20"/>
        </ext>
      </extLst>
    </bk>
    <bk>
      <extLst>
        <ext uri="{3e2802c4-a4d2-4d8b-9148-e3be6c30e623}">
          <xlrd:rvb i="39"/>
        </ext>
      </extLst>
    </bk>
    <bk>
      <extLst>
        <ext uri="{3e2802c4-a4d2-4d8b-9148-e3be6c30e623}">
          <xlrd:rvb i="56"/>
        </ext>
      </extLst>
    </bk>
    <bk>
      <extLst>
        <ext uri="{3e2802c4-a4d2-4d8b-9148-e3be6c30e623}">
          <xlrd:rvb i="75"/>
        </ext>
      </extLst>
    </bk>
    <bk>
      <extLst>
        <ext uri="{3e2802c4-a4d2-4d8b-9148-e3be6c30e623}">
          <xlrd:rvb i="93"/>
        </ext>
      </extLst>
    </bk>
    <bk>
      <extLst>
        <ext uri="{3e2802c4-a4d2-4d8b-9148-e3be6c30e623}">
          <xlrd:rvb i="108"/>
        </ext>
      </extLst>
    </bk>
    <bk>
      <extLst>
        <ext uri="{3e2802c4-a4d2-4d8b-9148-e3be6c30e623}">
          <xlrd:rvb i="126"/>
        </ext>
      </extLst>
    </bk>
    <bk>
      <extLst>
        <ext uri="{3e2802c4-a4d2-4d8b-9148-e3be6c30e623}">
          <xlrd:rvb i="144"/>
        </ext>
      </extLst>
    </bk>
    <bk>
      <extLst>
        <ext uri="{3e2802c4-a4d2-4d8b-9148-e3be6c30e623}">
          <xlrd:rvb i="160"/>
        </ext>
      </extLst>
    </bk>
    <bk>
      <extLst>
        <ext uri="{3e2802c4-a4d2-4d8b-9148-e3be6c30e623}">
          <xlrd:rvb i="178"/>
        </ext>
      </extLst>
    </bk>
    <bk>
      <extLst>
        <ext uri="{3e2802c4-a4d2-4d8b-9148-e3be6c30e623}">
          <xlrd:rvb i="196"/>
        </ext>
      </extLst>
    </bk>
    <bk>
      <extLst>
        <ext uri="{3e2802c4-a4d2-4d8b-9148-e3be6c30e623}">
          <xlrd:rvb i="212"/>
        </ext>
      </extLst>
    </bk>
    <bk>
      <extLst>
        <ext uri="{3e2802c4-a4d2-4d8b-9148-e3be6c30e623}">
          <xlrd:rvb i="230"/>
        </ext>
      </extLst>
    </bk>
    <bk>
      <extLst>
        <ext uri="{3e2802c4-a4d2-4d8b-9148-e3be6c30e623}">
          <xlrd:rvb i="243"/>
        </ext>
      </extLst>
    </bk>
    <bk>
      <extLst>
        <ext uri="{3e2802c4-a4d2-4d8b-9148-e3be6c30e623}">
          <xlrd:rvb i="259"/>
        </ext>
      </extLst>
    </bk>
    <bk>
      <extLst>
        <ext uri="{3e2802c4-a4d2-4d8b-9148-e3be6c30e623}">
          <xlrd:rvb i="273"/>
        </ext>
      </extLst>
    </bk>
    <bk>
      <extLst>
        <ext uri="{3e2802c4-a4d2-4d8b-9148-e3be6c30e623}">
          <xlrd:rvb i="290"/>
        </ext>
      </extLst>
    </bk>
    <bk>
      <extLst>
        <ext uri="{3e2802c4-a4d2-4d8b-9148-e3be6c30e623}">
          <xlrd:rvb i="301"/>
        </ext>
      </extLst>
    </bk>
    <bk>
      <extLst>
        <ext uri="{3e2802c4-a4d2-4d8b-9148-e3be6c30e623}">
          <xlrd:rvb i="317"/>
        </ext>
      </extLst>
    </bk>
    <bk>
      <extLst>
        <ext uri="{3e2802c4-a4d2-4d8b-9148-e3be6c30e623}">
          <xlrd:rvb i="331"/>
        </ext>
      </extLst>
    </bk>
    <bk>
      <extLst>
        <ext uri="{3e2802c4-a4d2-4d8b-9148-e3be6c30e623}">
          <xlrd:rvb i="348"/>
        </ext>
      </extLst>
    </bk>
    <bk>
      <extLst>
        <ext uri="{3e2802c4-a4d2-4d8b-9148-e3be6c30e623}">
          <xlrd:rvb i="361"/>
        </ext>
      </extLst>
    </bk>
    <bk>
      <extLst>
        <ext uri="{3e2802c4-a4d2-4d8b-9148-e3be6c30e623}">
          <xlrd:rvb i="377"/>
        </ext>
      </extLst>
    </bk>
    <bk>
      <extLst>
        <ext uri="{3e2802c4-a4d2-4d8b-9148-e3be6c30e623}">
          <xlrd:rvb i="389"/>
        </ext>
      </extLst>
    </bk>
    <bk>
      <extLst>
        <ext uri="{3e2802c4-a4d2-4d8b-9148-e3be6c30e623}">
          <xlrd:rvb i="406"/>
        </ext>
      </extLst>
    </bk>
    <bk>
      <extLst>
        <ext uri="{3e2802c4-a4d2-4d8b-9148-e3be6c30e623}">
          <xlrd:rvb i="416"/>
        </ext>
      </extLst>
    </bk>
    <bk>
      <extLst>
        <ext uri="{3e2802c4-a4d2-4d8b-9148-e3be6c30e623}">
          <xlrd:rvb i="433"/>
        </ext>
      </extLst>
    </bk>
    <bk>
      <extLst>
        <ext uri="{3e2802c4-a4d2-4d8b-9148-e3be6c30e623}">
          <xlrd:rvb i="443"/>
        </ext>
      </extLst>
    </bk>
    <bk>
      <extLst>
        <ext uri="{3e2802c4-a4d2-4d8b-9148-e3be6c30e623}">
          <xlrd:rvb i="461"/>
        </ext>
      </extLst>
    </bk>
    <bk>
      <extLst>
        <ext uri="{3e2802c4-a4d2-4d8b-9148-e3be6c30e623}">
          <xlrd:rvb i="472"/>
        </ext>
      </extLst>
    </bk>
    <bk>
      <extLst>
        <ext uri="{3e2802c4-a4d2-4d8b-9148-e3be6c30e623}">
          <xlrd:rvb i="491"/>
        </ext>
      </extLst>
    </bk>
    <bk>
      <extLst>
        <ext uri="{3e2802c4-a4d2-4d8b-9148-e3be6c30e623}">
          <xlrd:rvb i="502"/>
        </ext>
      </extLst>
    </bk>
    <bk>
      <extLst>
        <ext uri="{3e2802c4-a4d2-4d8b-9148-e3be6c30e623}">
          <xlrd:rvb i="518"/>
        </ext>
      </extLst>
    </bk>
    <bk>
      <extLst>
        <ext uri="{3e2802c4-a4d2-4d8b-9148-e3be6c30e623}">
          <xlrd:rvb i="529"/>
        </ext>
      </extLst>
    </bk>
    <bk>
      <extLst>
        <ext uri="{3e2802c4-a4d2-4d8b-9148-e3be6c30e623}">
          <xlrd:rvb i="547"/>
        </ext>
      </extLst>
    </bk>
    <bk>
      <extLst>
        <ext uri="{3e2802c4-a4d2-4d8b-9148-e3be6c30e623}">
          <xlrd:rvb i="557"/>
        </ext>
      </extLst>
    </bk>
    <bk>
      <extLst>
        <ext uri="{3e2802c4-a4d2-4d8b-9148-e3be6c30e623}">
          <xlrd:rvb i="573"/>
        </ext>
      </extLst>
    </bk>
    <bk>
      <extLst>
        <ext uri="{3e2802c4-a4d2-4d8b-9148-e3be6c30e623}">
          <xlrd:rvb i="583"/>
        </ext>
      </extLst>
    </bk>
    <bk>
      <extLst>
        <ext uri="{3e2802c4-a4d2-4d8b-9148-e3be6c30e623}">
          <xlrd:rvb i="601"/>
        </ext>
      </extLst>
    </bk>
    <bk>
      <extLst>
        <ext uri="{3e2802c4-a4d2-4d8b-9148-e3be6c30e623}">
          <xlrd:rvb i="612"/>
        </ext>
      </extLst>
    </bk>
    <bk>
      <extLst>
        <ext uri="{3e2802c4-a4d2-4d8b-9148-e3be6c30e623}">
          <xlrd:rvb i="630"/>
        </ext>
      </extLst>
    </bk>
    <bk>
      <extLst>
        <ext uri="{3e2802c4-a4d2-4d8b-9148-e3be6c30e623}">
          <xlrd:rvb i="639"/>
        </ext>
      </extLst>
    </bk>
    <bk>
      <extLst>
        <ext uri="{3e2802c4-a4d2-4d8b-9148-e3be6c30e623}">
          <xlrd:rvb i="655"/>
        </ext>
      </extLst>
    </bk>
    <bk>
      <extLst>
        <ext uri="{3e2802c4-a4d2-4d8b-9148-e3be6c30e623}">
          <xlrd:rvb i="665"/>
        </ext>
      </extLst>
    </bk>
    <bk>
      <extLst>
        <ext uri="{3e2802c4-a4d2-4d8b-9148-e3be6c30e623}">
          <xlrd:rvb i="683"/>
        </ext>
      </extLst>
    </bk>
    <bk>
      <extLst>
        <ext uri="{3e2802c4-a4d2-4d8b-9148-e3be6c30e623}">
          <xlrd:rvb i="688"/>
        </ext>
      </extLst>
    </bk>
    <bk>
      <extLst>
        <ext uri="{3e2802c4-a4d2-4d8b-9148-e3be6c30e623}">
          <xlrd:rvb i="706"/>
        </ext>
      </extLst>
    </bk>
    <bk>
      <extLst>
        <ext uri="{3e2802c4-a4d2-4d8b-9148-e3be6c30e623}">
          <xlrd:rvb i="718"/>
        </ext>
      </extLst>
    </bk>
    <bk>
      <extLst>
        <ext uri="{3e2802c4-a4d2-4d8b-9148-e3be6c30e623}">
          <xlrd:rvb i="736"/>
        </ext>
      </extLst>
    </bk>
    <bk>
      <extLst>
        <ext uri="{3e2802c4-a4d2-4d8b-9148-e3be6c30e623}">
          <xlrd:rvb i="745"/>
        </ext>
      </extLst>
    </bk>
    <bk>
      <extLst>
        <ext uri="{3e2802c4-a4d2-4d8b-9148-e3be6c30e623}">
          <xlrd:rvb i="763"/>
        </ext>
      </extLst>
    </bk>
    <bk>
      <extLst>
        <ext uri="{3e2802c4-a4d2-4d8b-9148-e3be6c30e623}">
          <xlrd:rvb i="774"/>
        </ext>
      </extLst>
    </bk>
    <bk>
      <extLst>
        <ext uri="{3e2802c4-a4d2-4d8b-9148-e3be6c30e623}">
          <xlrd:rvb i="790"/>
        </ext>
      </extLst>
    </bk>
    <bk>
      <extLst>
        <ext uri="{3e2802c4-a4d2-4d8b-9148-e3be6c30e623}">
          <xlrd:rvb i="799"/>
        </ext>
      </extLst>
    </bk>
    <bk>
      <extLst>
        <ext uri="{3e2802c4-a4d2-4d8b-9148-e3be6c30e623}">
          <xlrd:rvb i="814"/>
        </ext>
      </extLst>
    </bk>
    <bk>
      <extLst>
        <ext uri="{3e2802c4-a4d2-4d8b-9148-e3be6c30e623}">
          <xlrd:rvb i="823"/>
        </ext>
      </extLst>
    </bk>
    <bk>
      <extLst>
        <ext uri="{3e2802c4-a4d2-4d8b-9148-e3be6c30e623}">
          <xlrd:rvb i="839"/>
        </ext>
      </extLst>
    </bk>
    <bk>
      <extLst>
        <ext uri="{3e2802c4-a4d2-4d8b-9148-e3be6c30e623}">
          <xlrd:rvb i="846"/>
        </ext>
      </extLst>
    </bk>
    <bk>
      <extLst>
        <ext uri="{3e2802c4-a4d2-4d8b-9148-e3be6c30e623}">
          <xlrd:rvb i="863"/>
        </ext>
      </extLst>
    </bk>
    <bk>
      <extLst>
        <ext uri="{3e2802c4-a4d2-4d8b-9148-e3be6c30e623}">
          <xlrd:rvb i="870"/>
        </ext>
      </extLst>
    </bk>
    <bk>
      <extLst>
        <ext uri="{3e2802c4-a4d2-4d8b-9148-e3be6c30e623}">
          <xlrd:rvb i="888"/>
        </ext>
      </extLst>
    </bk>
    <bk>
      <extLst>
        <ext uri="{3e2802c4-a4d2-4d8b-9148-e3be6c30e623}">
          <xlrd:rvb i="896"/>
        </ext>
      </extLst>
    </bk>
    <bk>
      <extLst>
        <ext uri="{3e2802c4-a4d2-4d8b-9148-e3be6c30e623}">
          <xlrd:rvb i="914"/>
        </ext>
      </extLst>
    </bk>
    <bk>
      <extLst>
        <ext uri="{3e2802c4-a4d2-4d8b-9148-e3be6c30e623}">
          <xlrd:rvb i="923"/>
        </ext>
      </extLst>
    </bk>
    <bk>
      <extLst>
        <ext uri="{3e2802c4-a4d2-4d8b-9148-e3be6c30e623}">
          <xlrd:rvb i="941"/>
        </ext>
      </extLst>
    </bk>
    <bk>
      <extLst>
        <ext uri="{3e2802c4-a4d2-4d8b-9148-e3be6c30e623}">
          <xlrd:rvb i="948"/>
        </ext>
      </extLst>
    </bk>
    <bk>
      <extLst>
        <ext uri="{3e2802c4-a4d2-4d8b-9148-e3be6c30e623}">
          <xlrd:rvb i="964"/>
        </ext>
      </extLst>
    </bk>
    <bk>
      <extLst>
        <ext uri="{3e2802c4-a4d2-4d8b-9148-e3be6c30e623}">
          <xlrd:rvb i="972"/>
        </ext>
      </extLst>
    </bk>
    <bk>
      <extLst>
        <ext uri="{3e2802c4-a4d2-4d8b-9148-e3be6c30e623}">
          <xlrd:rvb i="989"/>
        </ext>
      </extLst>
    </bk>
    <bk>
      <extLst>
        <ext uri="{3e2802c4-a4d2-4d8b-9148-e3be6c30e623}">
          <xlrd:rvb i="997"/>
        </ext>
      </extLst>
    </bk>
    <bk>
      <extLst>
        <ext uri="{3e2802c4-a4d2-4d8b-9148-e3be6c30e623}">
          <xlrd:rvb i="1014"/>
        </ext>
      </extLst>
    </bk>
    <bk>
      <extLst>
        <ext uri="{3e2802c4-a4d2-4d8b-9148-e3be6c30e623}">
          <xlrd:rvb i="1022"/>
        </ext>
      </extLst>
    </bk>
    <bk>
      <extLst>
        <ext uri="{3e2802c4-a4d2-4d8b-9148-e3be6c30e623}">
          <xlrd:rvb i="1038"/>
        </ext>
      </extLst>
    </bk>
    <bk>
      <extLst>
        <ext uri="{3e2802c4-a4d2-4d8b-9148-e3be6c30e623}">
          <xlrd:rvb i="1045"/>
        </ext>
      </extLst>
    </bk>
    <bk>
      <extLst>
        <ext uri="{3e2802c4-a4d2-4d8b-9148-e3be6c30e623}">
          <xlrd:rvb i="1063"/>
        </ext>
      </extLst>
    </bk>
    <bk>
      <extLst>
        <ext uri="{3e2802c4-a4d2-4d8b-9148-e3be6c30e623}">
          <xlrd:rvb i="1070"/>
        </ext>
      </extLst>
    </bk>
    <bk>
      <extLst>
        <ext uri="{3e2802c4-a4d2-4d8b-9148-e3be6c30e623}">
          <xlrd:rvb i="1089"/>
        </ext>
      </extLst>
    </bk>
    <bk>
      <extLst>
        <ext uri="{3e2802c4-a4d2-4d8b-9148-e3be6c30e623}">
          <xlrd:rvb i="1095"/>
        </ext>
      </extLst>
    </bk>
    <bk>
      <extLst>
        <ext uri="{3e2802c4-a4d2-4d8b-9148-e3be6c30e623}">
          <xlrd:rvb i="1111"/>
        </ext>
      </extLst>
    </bk>
    <bk>
      <extLst>
        <ext uri="{3e2802c4-a4d2-4d8b-9148-e3be6c30e623}">
          <xlrd:rvb i="1117"/>
        </ext>
      </extLst>
    </bk>
    <bk>
      <extLst>
        <ext uri="{3e2802c4-a4d2-4d8b-9148-e3be6c30e623}">
          <xlrd:rvb i="1135"/>
        </ext>
      </extLst>
    </bk>
    <bk>
      <extLst>
        <ext uri="{3e2802c4-a4d2-4d8b-9148-e3be6c30e623}">
          <xlrd:rvb i="1143"/>
        </ext>
      </extLst>
    </bk>
    <bk>
      <extLst>
        <ext uri="{3e2802c4-a4d2-4d8b-9148-e3be6c30e623}">
          <xlrd:rvb i="1160"/>
        </ext>
      </extLst>
    </bk>
    <bk>
      <extLst>
        <ext uri="{3e2802c4-a4d2-4d8b-9148-e3be6c30e623}">
          <xlrd:rvb i="1169"/>
        </ext>
      </extLst>
    </bk>
    <bk>
      <extLst>
        <ext uri="{3e2802c4-a4d2-4d8b-9148-e3be6c30e623}">
          <xlrd:rvb i="1186"/>
        </ext>
      </extLst>
    </bk>
    <bk>
      <extLst>
        <ext uri="{3e2802c4-a4d2-4d8b-9148-e3be6c30e623}">
          <xlrd:rvb i="1193"/>
        </ext>
      </extLst>
    </bk>
    <bk>
      <extLst>
        <ext uri="{3e2802c4-a4d2-4d8b-9148-e3be6c30e623}">
          <xlrd:rvb i="1210"/>
        </ext>
      </extLst>
    </bk>
    <bk>
      <extLst>
        <ext uri="{3e2802c4-a4d2-4d8b-9148-e3be6c30e623}">
          <xlrd:rvb i="1217"/>
        </ext>
      </extLst>
    </bk>
    <bk>
      <extLst>
        <ext uri="{3e2802c4-a4d2-4d8b-9148-e3be6c30e623}">
          <xlrd:rvb i="1235"/>
        </ext>
      </extLst>
    </bk>
    <bk>
      <extLst>
        <ext uri="{3e2802c4-a4d2-4d8b-9148-e3be6c30e623}">
          <xlrd:rvb i="1244"/>
        </ext>
      </extLst>
    </bk>
    <bk>
      <extLst>
        <ext uri="{3e2802c4-a4d2-4d8b-9148-e3be6c30e623}">
          <xlrd:rvb i="1262"/>
        </ext>
      </extLst>
    </bk>
    <bk>
      <extLst>
        <ext uri="{3e2802c4-a4d2-4d8b-9148-e3be6c30e623}">
          <xlrd:rvb i="1271"/>
        </ext>
      </extLst>
    </bk>
    <bk>
      <extLst>
        <ext uri="{3e2802c4-a4d2-4d8b-9148-e3be6c30e623}">
          <xlrd:rvb i="1288"/>
        </ext>
      </extLst>
    </bk>
    <bk>
      <extLst>
        <ext uri="{3e2802c4-a4d2-4d8b-9148-e3be6c30e623}">
          <xlrd:rvb i="1295"/>
        </ext>
      </extLst>
    </bk>
    <bk>
      <extLst>
        <ext uri="{3e2802c4-a4d2-4d8b-9148-e3be6c30e623}">
          <xlrd:rvb i="1311"/>
        </ext>
      </extLst>
    </bk>
  </futureMetadata>
  <cellMetadata count="1">
    <bk>
      <rc t="1" v="0"/>
    </bk>
  </cellMetadata>
  <valueMetadata count="96">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valueMetadata>
</metadata>
</file>

<file path=xl/sharedStrings.xml><?xml version="1.0" encoding="utf-8"?>
<sst xmlns="http://schemas.openxmlformats.org/spreadsheetml/2006/main" count="3950" uniqueCount="80">
  <si>
    <t>State</t>
  </si>
  <si>
    <t>Alabama</t>
  </si>
  <si>
    <t>Arizona</t>
  </si>
  <si>
    <t>Arkansas</t>
  </si>
  <si>
    <t>California</t>
  </si>
  <si>
    <t>Colorado</t>
  </si>
  <si>
    <t>Connecticut</t>
  </si>
  <si>
    <t>Delaware</t>
  </si>
  <si>
    <t>Florida</t>
  </si>
  <si>
    <t>Georgia</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</si>
  <si>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</si>
  <si>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</si>
  <si>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</si>
  <si>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</si>
  <si>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</si>
  <si>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</si>
  <si>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</si>
  <si>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</si>
  <si>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</si>
  <si>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</si>
  <si>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</si>
  <si>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</si>
  <si>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</si>
  <si>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</si>
  <si>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</si>
  <si>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</si>
  <si>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</si>
  <si>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</si>
  <si>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</si>
  <si>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</si>
  <si>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</si>
  <si>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</si>
  <si>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</si>
  <si>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</si>
  <si>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</si>
  <si>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</si>
  <si>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</si>
  <si>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</si>
  <si>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</si>
  <si>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</si>
  <si>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</si>
  <si>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</si>
  <si>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</si>
  <si>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</si>
  <si>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</si>
  <si>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</si>
  <si>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</si>
  <si>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</si>
  <si>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</si>
  <si>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Industry</t>
  </si>
  <si>
    <t>Year</t>
  </si>
  <si>
    <t>Construction</t>
  </si>
  <si>
    <t>Manufacturing</t>
  </si>
  <si>
    <t>Information</t>
  </si>
  <si>
    <t>Trade &amp; Transportation</t>
  </si>
  <si>
    <t>Natural Resources</t>
  </si>
  <si>
    <t>Finance</t>
  </si>
  <si>
    <t>Business Services</t>
  </si>
  <si>
    <t>Education &amp; Health</t>
  </si>
  <si>
    <t>Leisure &amp; Hospitality</t>
  </si>
  <si>
    <t>Other Services</t>
  </si>
  <si>
    <t>Establishments</t>
  </si>
  <si>
    <t>Employees</t>
  </si>
  <si>
    <t>Avg Annual Wage</t>
  </si>
  <si>
    <t>INDUSTRY FILTER</t>
  </si>
  <si>
    <t>Selection</t>
  </si>
  <si>
    <t>DATE FILTER</t>
  </si>
  <si>
    <t>Current Year:</t>
  </si>
  <si>
    <t>AVG WAGE BY INDUSTRY</t>
  </si>
  <si>
    <t>EMPLOYEES BY INDUSTRY</t>
  </si>
  <si>
    <t>Others</t>
  </si>
  <si>
    <t>WAGE &amp; EMPLOYEE TRENDS</t>
  </si>
  <si>
    <t>Avg Wage</t>
  </si>
  <si>
    <t>COMPARISON BY STATE</t>
  </si>
  <si>
    <t>Population</t>
  </si>
  <si>
    <t>Employees per 1000 Capita</t>
  </si>
  <si>
    <t>Average Wages</t>
  </si>
  <si>
    <t>MAP FILTER</t>
  </si>
  <si>
    <t>Metric:</t>
  </si>
  <si>
    <t>Percentage: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</si>
</sst>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164" formatCode="&quot;$&quot;#,##0"/>
    <numFmt numFmtId="165" formatCode="&quot;$&quot;#,##0.00"/>
    <numFmt numFmtId="166" formatCode="#,##0;&quot;$&quot;#,##0"/>
    <numFmt numFmtId="167" formatCode=";;;"/>
  </numFmts>
  <fonts count="7" x14ac:knownFonts="1">
    <font>
      <sz val="11"/>
      <color theme="1"/>
      <name val="Calibri"/>
      <family val="2"/>
      <scheme val="minor"/>
    </font>
    <font>
      <b/>
      <sz val="11"/>
      <color theme="1"/>
      <name val="Calibri"/>
      <family val="2"/>
      <scheme val="minor"/>
    </font>
    <font>
      <sz val="11"/>
      <color theme="1"/>
      <name val="Calibri"/>
      <family val="2"/>
      <scheme val="minor"/>
    </font>
    <font>
      <b/>
      <sz val="11"/>
      <color theme="0"/>
      <name val="Calibri"/>
      <family val="2"/>
      <scheme val="minor"/>
    </font>
    <font>
      <sz val="12"/>
      <color rgb="FF7F7F7F"/>
      <name val="Calibri"/>
      <family val="2"/>
      <scheme val="minor"/>
    </font>
    <font>
      <b/>
      <sz val="16"/>
      <color theme="1" tint="0.24994659260841701"/>
      <name val="Calibri"/>
      <family val="2"/>
      <scheme val="minor"/>
    </font>
    <font>
      <b/>
      <sz val="14"/>
      <color rgb="FF404040"/>
      <name val="Calibri"/>
      <family val="2"/>
      <scheme val="minor"/>
    </font>
  </fonts>
  <fills count="9">
    <fill>
      <patternFill patternType="none"/>
    </fill>
    <fill>
      <patternFill patternType="gray125"/>
    </fill>
    <fill>
      <patternFill patternType="solid">
        <fgColor theme="3" tint="0.79998168889431442"/>
        <bgColor indexed="64"/>
      </patternFill>
    </fill>
    <fill>
      <patternFill patternType="solid">
        <fgColor theme="9"/>
        <bgColor indexed="64"/>
      </patternFill>
    </fill>
    <fill>
      <patternFill patternType="solid">
        <fgColor theme="8" tint="-0.24994659260841701"/>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1"/>
        <bgColor indexed="64"/>
      </patternFill>
    </fill>
    <fill>
      <patternFill patternType="solid">
        <fgColor theme="0" tint="-0.14996795556505021"/>
        <bgColor indexed="64"/>
      </patternFill>
    </fill>
  </fills>
  <borders count="1">
    <border>
      <left/>
      <right/>
      <top/>
      <bottom/>
      <diagonal/>
    </border>
  </borders>
  <cellStyleXfs count="3">
    <xf numFmtId="0" fontId="0" fillId="0" borderId="0"/>
    <xf numFmtId="44" fontId="2" fillId="0" borderId="0" applyFont="0" applyFill="0" applyBorder="0" applyAlignment="0" applyProtection="0"/>
    <xf numFmtId="9" fontId="2" fillId="0" borderId="0" applyFont="0" applyFill="0" applyBorder="0" applyAlignment="0" applyProtection="0"/>
  </cellStyleXfs>
  <cellXfs count="22">
    <xf numFmtId="0" fontId="0" fillId="0" borderId="0" xfId="0"/>
    <xf numFmtId="3" fontId="0" fillId="0" borderId="0" xfId="0" applyNumberFormat="1"/>
    <xf numFmtId="164" fontId="0" fillId="0" borderId="0" xfId="0" applyNumberFormat="1"/>
    <xf numFmtId="0" fontId="1" fillId="2" borderId="0" xfId="0" applyFont="1" applyFill="1"/>
    <xf numFmtId="0" fontId="1" fillId="0" borderId="0" xfId="0" applyFont="1" applyAlignment="1">
      <alignment horizontal="right"/>
    </xf>
    <xf numFmtId="0" fontId="3" fillId="3" borderId="0" xfId="0" applyFont="1" applyFill="1" applyAlignment="1">
      <alignment horizontal="centerContinuous"/>
    </xf>
    <xf numFmtId="0" fontId="3" fillId="4" borderId="0" xfId="0" applyFont="1" applyFill="1" applyAlignment="1">
      <alignment horizontal="centerContinuous"/>
    </xf>
    <xf numFmtId="0" fontId="1" fillId="5" borderId="0" xfId="0" applyFont="1" applyFill="1"/>
    <xf numFmtId="0" fontId="0" fillId="0" borderId="0" xfId="0" applyAlignment="1">
      <alignment horizontal="left"/>
    </xf>
    <xf numFmtId="165" fontId="0" fillId="0" borderId="0" xfId="1" applyNumberFormat="1" applyFont="1"/>
    <xf numFmtId="49" fontId="0" fillId="0" borderId="0" xfId="0" applyNumberFormat="1"/>
    <xf numFmtId="49" fontId="1" fillId="7" borderId="0" xfId="0" applyNumberFormat="1" applyFont="1" applyFill="1"/>
    <xf numFmtId="0" fontId="1" fillId="7" borderId="0" xfId="0" applyFont="1" applyFill="1"/>
    <xf numFmtId="0" fontId="1" fillId="6" borderId="0" xfId="0" applyFont="1" applyFill="1"/>
    <xf numFmtId="2" fontId="0" fillId="0" borderId="0" xfId="0" applyNumberFormat="1"/>
    <xf numFmtId="166" fontId="0" fillId="0" borderId="0" xfId="0" applyNumberFormat="1"/>
    <xf numFmtId="0" fontId="4" fillId="0" borderId="0" xfId="0" applyFont="1" applyAlignment="1">
      <alignment horizontal="center" vertical="center"/>
    </xf>
    <xf numFmtId="9" fontId="0" fillId="0" borderId="0" xfId="2" applyFont="1"/>
    <xf numFmtId="167" fontId="0" fillId="0" borderId="0" xfId="0" applyNumberFormat="1"/>
    <xf numFmtId="0" fontId="6" fillId="0" borderId="0" xfId="0" applyFont="1" applyAlignment="1">
      <alignment horizontal="center" vertical="center"/>
    </xf>
    <xf numFmtId="0" fontId="5" fillId="8" borderId="0" xfId="0" applyFont="1" applyFill="1" applyAlignment="1">
      <alignment horizontal="center"/>
    </xf>
    <xf numFmtId="0" fontId="3" fillId="3" borderId="0" xfId="0" applyFont="1" applyFill="1" applyAlignment="1">
      <alignment horizontal="center"/>
    </xf>
  </cellXfs>
  <cellStyles count="3">
    <cellStyle name="Currency" xfId="1" builtinId="4"/>
    <cellStyle name="Normal" xfId="0" builtinId="0"/>
    <cellStyle name="Percent" xfId="2" builtinId="5"/>
  </cellStyles>
  <dxfs count="4">
    <dxf>
      <font>
        <b val="0"/>
        <i val="0"/>
        <strike val="0"/>
        <condense val="0"/>
        <extend val="0"/>
        <outline val="0"/>
        <shadow val="0"/>
        <u val="none"/>
        <vertAlign val="baseline"/>
        <sz val="11"/>
        <color theme="1"/>
        <name val="Calibri"/>
        <family val="2"/>
        <scheme val="minor"/>
      </font>
      <numFmt numFmtId="165" formatCode="&quot;$&quot;#,##0.00"/>
    </dxf>
    <dxf>
      <font>
        <b val="0"/>
        <i val="0"/>
        <strike val="0"/>
        <condense val="0"/>
        <extend val="0"/>
        <outline val="0"/>
        <shadow val="0"/>
        <u val="none"/>
        <vertAlign val="baseline"/>
        <sz val="11"/>
        <color theme="1"/>
        <name val="Calibri"/>
        <family val="2"/>
        <scheme val="minor"/>
      </font>
      <numFmt numFmtId="165" formatCode="&quot;$&quot;#,##0.00"/>
    </dxf>
    <dxf>
      <numFmt numFmtId="30" formatCode="@"/>
    </dxf>
    <dxf>
      <fill>
        <patternFill patternType="solid">
          <fgColor indexed="64"/>
          <bgColor theme="1"/>
        </patternFill>
      </fill>
    </dxf>
  </dxfs>
  <tableStyles count="0" defaultTableStyle="TableStyleMedium2" defaultPivotStyle="PivotStyleLight16"/>
  <colors>
    <mruColors>
      <color rgb="FFFF5050"/>
      <color rgb="FFFF7453"/>
      <color rgb="FF269999"/>
      <color rgb="FFB2DBD5"/>
      <color rgb="FFEE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13" Type="http://schemas.microsoft.com/office/2017/06/relationships/richStyles" Target="richData/richStyles.xml"/><Relationship Id="rId3" Type="http://schemas.openxmlformats.org/officeDocument/2006/relationships/worksheet" Target="worksheets/sheet3.xml"/><Relationship Id="rId7" Type="http://schemas.openxmlformats.org/officeDocument/2006/relationships/sharedStrings" Target="sharedStrings.xml"/><Relationship Id="rId12" Type="http://schemas.microsoft.com/office/2017/06/relationships/rdArray" Target="richData/rdarray.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styles" Target="styles.xml"/><Relationship Id="rId11" Type="http://schemas.microsoft.com/office/2017/06/relationships/rdRichValueStructure" Target="richData/rdrichvaluestructure.xml"/><Relationship Id="rId5" Type="http://schemas.openxmlformats.org/officeDocument/2006/relationships/theme" Target="theme/theme1.xml"/><Relationship Id="rId15" Type="http://schemas.microsoft.com/office/2017/06/relationships/rdSupportingPropertyBag" Target="richData/rdsupportingpropertybag.xml"/><Relationship Id="rId10" Type="http://schemas.microsoft.com/office/2017/06/relationships/rdRichValue" Target="richData/rdrichvalue.xml"/><Relationship Id="rId4" Type="http://schemas.openxmlformats.org/officeDocument/2006/relationships/worksheet" Target="worksheets/sheet4.xml"/><Relationship Id="rId9" Type="http://schemas.microsoft.com/office/2020/07/relationships/rdRichValueWebImage" Target="richData/rdRichValueWebImage.xml"/><Relationship Id="rId14" Type="http://schemas.microsoft.com/office/2017/06/relationships/rdSupportingPropertyBagStructure" Target="richData/rdsupportingpropertybagstructur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'Data Prep'!$E$2</c:f>
              <c:strCache>
                <c:ptCount val="1"/>
                <c:pt idx="0">
                  <c:v>Avg Annual Wage</c:v>
                </c:pt>
              </c:strCache>
            </c:strRef>
          </c:tx>
          <c:spPr>
            <a:solidFill>
              <a:schemeClr val="bg2">
                <a:lumMod val="75000"/>
              </a:schemeClr>
            </a:solidFill>
            <a:ln>
              <a:noFill/>
            </a:ln>
            <a:effectLst/>
          </c:spPr>
          <c:invertIfNegative val="0"/>
          <c:cat>
            <c:strRef>
              <c:f>'Data Prep'!$D$3:$D$12</c:f>
              <c:strCache>
                <c:ptCount val="10"/>
                <c:pt idx="0">
                  <c:v>Information</c:v>
                </c:pt>
                <c:pt idx="1">
                  <c:v>Finance</c:v>
                </c:pt>
                <c:pt idx="2">
                  <c:v>Business Services</c:v>
                </c:pt>
                <c:pt idx="3">
                  <c:v>Manufacturing</c:v>
                </c:pt>
                <c:pt idx="4">
                  <c:v>Construction</c:v>
                </c:pt>
                <c:pt idx="5">
                  <c:v>Natural Resources</c:v>
                </c:pt>
                <c:pt idx="6">
                  <c:v>Education &amp; Health</c:v>
                </c:pt>
                <c:pt idx="7">
                  <c:v>Trade &amp; Transportation</c:v>
                </c:pt>
                <c:pt idx="8">
                  <c:v>Other Services</c:v>
                </c:pt>
                <c:pt idx="9">
                  <c:v>Leisure &amp; Hospitality</c:v>
                </c:pt>
              </c:strCache>
            </c:strRef>
          </c:cat>
          <c:val>
            <c:numRef>
              <c:f>'Data Prep'!$E$3:$E$12</c:f>
              <c:numCache>
                <c:formatCode>"$"#,##0.00</c:formatCode>
                <c:ptCount val="10"/>
                <c:pt idx="0">
                  <c:v>93586.333333333328</c:v>
                </c:pt>
                <c:pt idx="1">
                  <c:v>90040.666666666672</c:v>
                </c:pt>
                <c:pt idx="2">
                  <c:v>74713.0625</c:v>
                </c:pt>
                <c:pt idx="3">
                  <c:v>68427.875</c:v>
                </c:pt>
                <c:pt idx="4">
                  <c:v>63896.895833333336</c:v>
                </c:pt>
                <c:pt idx="5">
                  <c:v>55605.9375</c:v>
                </c:pt>
                <c:pt idx="6">
                  <c:v>53607.208333333336</c:v>
                </c:pt>
                <c:pt idx="7">
                  <c:v>49366.8125</c:v>
                </c:pt>
                <c:pt idx="8">
                  <c:v>40790.1875</c:v>
                </c:pt>
                <c:pt idx="9">
                  <c:v>23286.416666666668</c:v>
                </c:pt>
              </c:numCache>
            </c:numRef>
          </c:val>
          <c:extLst>
            <c:ext xmlns:c16="http://schemas.microsoft.com/office/drawing/2014/chart" uri="{C3380CC4-5D6E-409C-BE32-E72D297353CC}">
              <c16:uniqueId val="{00000000-3610-4F99-AFD8-1FF5D26E564F}"/>
            </c:ext>
          </c:extLst>
        </c:ser>
        <c:ser>
          <c:idx val="1"/>
          <c:order val="1"/>
          <c:tx>
            <c:strRef>
              <c:f>'Data Prep'!$F$2</c:f>
              <c:strCache>
                <c:ptCount val="1"/>
                <c:pt idx="0">
                  <c:v>Selection</c:v>
                </c:pt>
              </c:strCache>
            </c:strRef>
          </c:tx>
          <c:spPr>
            <a:solidFill>
              <a:srgbClr val="FF5050"/>
            </a:solidFill>
            <a:ln>
              <a:noFill/>
            </a:ln>
            <a:effectLst/>
          </c:spPr>
          <c:invertIfNegative val="0"/>
          <c:dLbls>
            <c:dLbl>
              <c:idx val="5"/>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0-96F8-4CE2-A16A-181F611A8F1A}"/>
                </c:ext>
              </c:extLst>
            </c:dLbl>
            <c:dLbl>
              <c:idx val="9"/>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1-96F8-4CE2-A16A-181F611A8F1A}"/>
                </c:ext>
              </c:extLst>
            </c:dLbl>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Prep'!$D$3:$D$12</c:f>
              <c:strCache>
                <c:ptCount val="10"/>
                <c:pt idx="0">
                  <c:v>Information</c:v>
                </c:pt>
                <c:pt idx="1">
                  <c:v>Finance</c:v>
                </c:pt>
                <c:pt idx="2">
                  <c:v>Business Services</c:v>
                </c:pt>
                <c:pt idx="3">
                  <c:v>Manufacturing</c:v>
                </c:pt>
                <c:pt idx="4">
                  <c:v>Construction</c:v>
                </c:pt>
                <c:pt idx="5">
                  <c:v>Natural Resources</c:v>
                </c:pt>
                <c:pt idx="6">
                  <c:v>Education &amp; Health</c:v>
                </c:pt>
                <c:pt idx="7">
                  <c:v>Trade &amp; Transportation</c:v>
                </c:pt>
                <c:pt idx="8">
                  <c:v>Other Services</c:v>
                </c:pt>
                <c:pt idx="9">
                  <c:v>Leisure &amp; Hospitality</c:v>
                </c:pt>
              </c:strCache>
            </c:strRef>
          </c:cat>
          <c:val>
            <c:numRef>
              <c:f>'Data Prep'!$F$3:$F$12</c:f>
              <c:numCache>
                <c:formatCode>"$"#,##0.00</c:formatCode>
                <c:ptCount val="10"/>
                <c:pt idx="0">
                  <c:v>0</c:v>
                </c:pt>
                <c:pt idx="1">
                  <c:v>90040.666666666672</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3-719D-4DC2-B299-E9EC7054FF19}"/>
            </c:ext>
          </c:extLst>
        </c:ser>
        <c:dLbls>
          <c:showLegendKey val="0"/>
          <c:showVal val="0"/>
          <c:showCatName val="0"/>
          <c:showSerName val="0"/>
          <c:showPercent val="0"/>
          <c:showBubbleSize val="0"/>
        </c:dLbls>
        <c:gapWidth val="85"/>
        <c:overlap val="100"/>
        <c:axId val="1816138447"/>
        <c:axId val="1816126447"/>
      </c:barChart>
      <c:catAx>
        <c:axId val="1816138447"/>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6126447"/>
        <c:crosses val="autoZero"/>
        <c:auto val="1"/>
        <c:lblAlgn val="ctr"/>
        <c:lblOffset val="90"/>
        <c:noMultiLvlLbl val="0"/>
      </c:catAx>
      <c:valAx>
        <c:axId val="1816126447"/>
        <c:scaling>
          <c:orientation val="minMax"/>
        </c:scaling>
        <c:delete val="0"/>
        <c:axPos val="t"/>
        <c:numFmt formatCode="&quot;$&quot;#,##0,&quot;K&quot;" sourceLinked="0"/>
        <c:majorTickMark val="out"/>
        <c:minorTickMark val="none"/>
        <c:tickLblPos val="nextTo"/>
        <c:spPr>
          <a:noFill/>
          <a:ln>
            <a:solidFill>
              <a:schemeClr val="accent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6138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692746739990834"/>
          <c:y val="0.26793275840519937"/>
          <c:w val="0.78793494864588876"/>
          <c:h val="0.62282352941176466"/>
        </c:manualLayout>
      </c:layout>
      <c:lineChart>
        <c:grouping val="standard"/>
        <c:varyColors val="0"/>
        <c:ser>
          <c:idx val="1"/>
          <c:order val="0"/>
          <c:tx>
            <c:strRef>
              <c:f>'Data Prep'!$L$2</c:f>
              <c:strCache>
                <c:ptCount val="1"/>
                <c:pt idx="0">
                  <c:v>Avg Wage</c:v>
                </c:pt>
              </c:strCache>
            </c:strRef>
          </c:tx>
          <c:spPr>
            <a:ln w="28575" cap="rnd" cmpd="sng">
              <a:solidFill>
                <a:srgbClr val="FF5050"/>
              </a:solidFill>
              <a:round/>
            </a:ln>
            <a:effectLst/>
          </c:spPr>
          <c:marker>
            <c:symbol val="circle"/>
            <c:size val="5"/>
            <c:spPr>
              <a:solidFill>
                <a:srgbClr val="FF5050"/>
              </a:solidFill>
              <a:ln w="9525">
                <a:noFill/>
              </a:ln>
              <a:effectLst/>
            </c:spPr>
          </c:marker>
          <c:dLbls>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'Data Prep'!$L$3:$L$6</c:f>
              <c:numCache>
                <c:formatCode>"$"#,##0</c:formatCode>
                <c:ptCount val="4"/>
                <c:pt idx="0">
                  <c:v>77330.083333333328</c:v>
                </c:pt>
                <c:pt idx="1">
                  <c:v>80167.854166666672</c:v>
                </c:pt>
                <c:pt idx="2">
                  <c:v>82837.375</c:v>
                </c:pt>
                <c:pt idx="3">
                  <c:v>90040.666666666672</c:v>
                </c:pt>
              </c:numCache>
            </c:numRef>
          </c:val>
          <c:smooth val="0"/>
          <c:extLst>
            <c:ext xmlns:c15="http://schemas.microsoft.com/office/drawing/2012/chart" uri="{02D57815-91ED-43cb-92C2-25804820EDAC}">
              <c15:filteredCategoryTitle>
                <c15:cat>
                  <c:numRef>
                    <c:extLst>
                      <c:ext uri="{02D57815-91ED-43cb-92C2-25804820EDAC}">
                        <c15:formulaRef>
                          <c15:sqref>'Data Prep'!$K$3:$K$6</c15:sqref>
                        </c15:formulaRef>
                      </c:ext>
                    </c:extLst>
                    <c:numCache>
                      <c:formatCode>@</c:formatCode>
                      <c:ptCount val="4"/>
                      <c:pt idx="0">
                        <c:v>2017</c:v>
                      </c:pt>
                      <c:pt idx="1">
                        <c:v>2018</c:v>
                      </c:pt>
                      <c:pt idx="2">
                        <c:v>2019</c:v>
                      </c:pt>
                      <c:pt idx="3">
                        <c:v>2020</c:v>
                      </c:pt>
                    </c:numCache>
                  </c:numRef>
                </c15:cat>
              </c15:filteredCategoryTitle>
            </c:ext>
            <c:ext xmlns:c16="http://schemas.microsoft.com/office/drawing/2014/chart" uri="{C3380CC4-5D6E-409C-BE32-E72D297353CC}">
              <c16:uniqueId val="{00000000-B765-4973-9633-8BDFAB1E8382}"/>
            </c:ext>
          </c:extLst>
        </c:ser>
        <c:dLbls>
          <c:showLegendKey val="0"/>
          <c:showVal val="0"/>
          <c:showCatName val="0"/>
          <c:showSerName val="0"/>
          <c:showPercent val="0"/>
          <c:showBubbleSize val="0"/>
        </c:dLbls>
        <c:marker val="1"/>
        <c:smooth val="0"/>
        <c:axId val="1604980496"/>
        <c:axId val="1604964176"/>
      </c:lineChart>
      <c:catAx>
        <c:axId val="1604980496"/>
        <c:scaling>
          <c:orientation val="minMax"/>
        </c:scaling>
        <c:delete val="1"/>
        <c:axPos val="b"/>
        <c:numFmt formatCode="@" sourceLinked="1"/>
        <c:majorTickMark val="none"/>
        <c:minorTickMark val="none"/>
        <c:tickLblPos val="nextTo"/>
        <c:crossAx val="1604964176"/>
        <c:crosses val="autoZero"/>
        <c:auto val="1"/>
        <c:lblAlgn val="ctr"/>
        <c:lblOffset val="100"/>
        <c:noMultiLvlLbl val="0"/>
      </c:catAx>
      <c:valAx>
        <c:axId val="1604964176"/>
        <c:scaling>
          <c:orientation val="minMax"/>
        </c:scaling>
        <c:delete val="0"/>
        <c:axPos val="l"/>
        <c:title>
          <c:tx>
            <c:rich>
              <a:bodyPr rot="-5400000" spcFirstLastPara="1" vertOverflow="ellipsis" vert="horz" wrap="square" anchor="ctr" anchorCtr="1"/>
              <a:lstStyle/>
              <a:p>
                <a:pPr>
                  <a:defRPr sz="700" b="0" i="0" u="none" strike="noStrike" kern="1200" baseline="0">
                    <a:solidFill>
                      <a:schemeClr val="tx1">
                        <a:lumMod val="75000"/>
                        <a:lumOff val="25000"/>
                      </a:schemeClr>
                    </a:solidFill>
                    <a:latin typeface="+mn-lt"/>
                    <a:ea typeface="+mn-ea"/>
                    <a:cs typeface="+mn-cs"/>
                  </a:defRPr>
                </a:pPr>
                <a:r>
                  <a:rPr lang="en-US" sz="700" baseline="0">
                    <a:solidFill>
                      <a:schemeClr val="tx1">
                        <a:lumMod val="75000"/>
                        <a:lumOff val="25000"/>
                      </a:schemeClr>
                    </a:solidFill>
                  </a:rPr>
                  <a:t>Avg Wages</a:t>
                </a:r>
              </a:p>
            </c:rich>
          </c:tx>
          <c:layout>
            <c:manualLayout>
              <c:xMode val="edge"/>
              <c:yMode val="edge"/>
              <c:x val="3.627458461965382E-2"/>
              <c:y val="0.24413500943960953"/>
            </c:manualLayout>
          </c:layout>
          <c:overlay val="0"/>
          <c:spPr>
            <a:noFill/>
            <a:ln>
              <a:noFill/>
            </a:ln>
            <a:effectLst/>
          </c:spPr>
          <c:txPr>
            <a:bodyPr rot="-5400000" spcFirstLastPara="1" vertOverflow="ellipsis" vert="horz" wrap="square" anchor="ctr" anchorCtr="1"/>
            <a:lstStyle/>
            <a:p>
              <a:pPr>
                <a:defRPr sz="700" b="0" i="0" u="none" strike="noStrike" kern="1200" baseline="0">
                  <a:solidFill>
                    <a:schemeClr val="tx1">
                      <a:lumMod val="75000"/>
                      <a:lumOff val="25000"/>
                    </a:schemeClr>
                  </a:solidFill>
                  <a:latin typeface="+mn-lt"/>
                  <a:ea typeface="+mn-ea"/>
                  <a:cs typeface="+mn-cs"/>
                </a:defRPr>
              </a:pPr>
              <a:endParaRPr lang="en-US"/>
            </a:p>
          </c:txPr>
        </c:title>
        <c:numFmt formatCode="\:" sourceLinked="0"/>
        <c:majorTickMark val="none"/>
        <c:minorTickMark val="none"/>
        <c:tickLblPos val="nextTo"/>
        <c:spPr>
          <a:noFill/>
          <a:ln>
            <a:solidFill>
              <a:schemeClr val="accent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4980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339665875098947"/>
          <c:y val="5.6173363057131262E-2"/>
          <c:w val="0.83272993480174629"/>
          <c:h val="0.81040457280153944"/>
        </c:manualLayout>
      </c:layout>
      <c:barChart>
        <c:barDir val="col"/>
        <c:grouping val="clustered"/>
        <c:varyColors val="0"/>
        <c:ser>
          <c:idx val="2"/>
          <c:order val="0"/>
          <c:tx>
            <c:strRef>
              <c:f>'Data Prep'!$K$3:$K$6</c:f>
              <c:strCache>
                <c:ptCount val="4"/>
                <c:pt idx="0">
                  <c:v>2017</c:v>
                </c:pt>
                <c:pt idx="1">
                  <c:v>2018</c:v>
                </c:pt>
                <c:pt idx="2">
                  <c:v>2019</c:v>
                </c:pt>
                <c:pt idx="3">
                  <c:v>2020</c:v>
                </c:pt>
              </c:strCache>
            </c:strRef>
          </c:tx>
          <c:spPr>
            <a:solidFill>
              <a:srgbClr val="00B0F0"/>
            </a:solidFill>
            <a:ln>
              <a:noFill/>
            </a:ln>
            <a:effectLst/>
          </c:spPr>
          <c:invertIfNegative val="0"/>
          <c:dLbls>
            <c:numFmt formatCode="#,##0.00,,&quot;M&quot;" sourceLinked="0"/>
            <c:spPr>
              <a:noFill/>
              <a:ln>
                <a:noFill/>
              </a:ln>
              <a:effectLst/>
            </c:spPr>
            <c:txPr>
              <a:bodyPr rot="0" spcFirstLastPara="1" vertOverflow="ellipsis" vert="horz" wrap="square" lIns="38100" tIns="19050" rIns="38100" bIns="19050" anchor="ctr" anchorCtr="1">
                <a:spAutoFit/>
              </a:bodyPr>
              <a:lstStyle/>
              <a:p>
                <a:pPr>
                  <a:defRPr sz="7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 Prep'!$K$3:$K$6</c:f>
              <c:numCache>
                <c:formatCode>@</c:formatCode>
                <c:ptCount val="4"/>
                <c:pt idx="0">
                  <c:v>2017</c:v>
                </c:pt>
                <c:pt idx="1">
                  <c:v>2018</c:v>
                </c:pt>
                <c:pt idx="2">
                  <c:v>2019</c:v>
                </c:pt>
                <c:pt idx="3">
                  <c:v>2020</c:v>
                </c:pt>
              </c:numCache>
              <c:extLst xmlns:c15="http://schemas.microsoft.com/office/drawing/2012/chart"/>
            </c:numRef>
          </c:cat>
          <c:val>
            <c:numRef>
              <c:f>'Data Prep'!$M$3:$M$6</c:f>
              <c:numCache>
                <c:formatCode>#,##0</c:formatCode>
                <c:ptCount val="4"/>
                <c:pt idx="0">
                  <c:v>8021586</c:v>
                </c:pt>
                <c:pt idx="1">
                  <c:v>8120224</c:v>
                </c:pt>
                <c:pt idx="2">
                  <c:v>8251469</c:v>
                </c:pt>
                <c:pt idx="3">
                  <c:v>8142043</c:v>
                </c:pt>
              </c:numCache>
            </c:numRef>
          </c:val>
          <c:extLst>
            <c:ext xmlns:c16="http://schemas.microsoft.com/office/drawing/2014/chart" uri="{C3380CC4-5D6E-409C-BE32-E72D297353CC}">
              <c16:uniqueId val="{00000000-B65E-42E4-BA93-09FBC49B1441}"/>
            </c:ext>
          </c:extLst>
        </c:ser>
        <c:dLbls>
          <c:showLegendKey val="0"/>
          <c:showVal val="0"/>
          <c:showCatName val="0"/>
          <c:showSerName val="0"/>
          <c:showPercent val="0"/>
          <c:showBubbleSize val="0"/>
        </c:dLbls>
        <c:gapWidth val="150"/>
        <c:axId val="1604980496"/>
        <c:axId val="1604964176"/>
      </c:barChart>
      <c:catAx>
        <c:axId val="1604980496"/>
        <c:scaling>
          <c:orientation val="minMax"/>
        </c:scaling>
        <c:delete val="0"/>
        <c:axPos val="b"/>
        <c:numFmt formatCode="@"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04964176"/>
        <c:crosses val="autoZero"/>
        <c:auto val="1"/>
        <c:lblAlgn val="ctr"/>
        <c:lblOffset val="100"/>
        <c:noMultiLvlLbl val="0"/>
      </c:catAx>
      <c:valAx>
        <c:axId val="1604964176"/>
        <c:scaling>
          <c:orientation val="minMax"/>
          <c:max val="30000000"/>
          <c:min val="0"/>
        </c:scaling>
        <c:delete val="0"/>
        <c:axPos val="l"/>
        <c:title>
          <c:tx>
            <c:rich>
              <a:bodyPr rot="-5400000" spcFirstLastPara="1" vertOverflow="ellipsis" vert="horz" wrap="square" anchor="ctr" anchorCtr="1"/>
              <a:lstStyle/>
              <a:p>
                <a:pPr>
                  <a:defRPr sz="700" b="1" i="0" u="none" strike="noStrike" kern="1200" baseline="0">
                    <a:solidFill>
                      <a:schemeClr val="tx1">
                        <a:lumMod val="75000"/>
                        <a:lumOff val="25000"/>
                      </a:schemeClr>
                    </a:solidFill>
                    <a:latin typeface="+mn-lt"/>
                    <a:ea typeface="+mn-ea"/>
                    <a:cs typeface="+mn-cs"/>
                  </a:defRPr>
                </a:pPr>
                <a:r>
                  <a:rPr lang="en-US" sz="700" b="1" baseline="0">
                    <a:solidFill>
                      <a:schemeClr val="tx1">
                        <a:lumMod val="75000"/>
                        <a:lumOff val="25000"/>
                      </a:schemeClr>
                    </a:solidFill>
                  </a:rPr>
                  <a:t>No.Employees</a:t>
                </a:r>
              </a:p>
            </c:rich>
          </c:tx>
          <c:layout>
            <c:manualLayout>
              <c:xMode val="edge"/>
              <c:yMode val="edge"/>
              <c:x val="1.7391312286345904E-2"/>
              <c:y val="7.7609892049256946E-2"/>
            </c:manualLayout>
          </c:layout>
          <c:overlay val="0"/>
          <c:spPr>
            <a:noFill/>
            <a:ln>
              <a:noFill/>
            </a:ln>
            <a:effectLst/>
          </c:spPr>
          <c:txPr>
            <a:bodyPr rot="-5400000" spcFirstLastPara="1" vertOverflow="ellipsis" vert="horz" wrap="square" anchor="ctr" anchorCtr="1"/>
            <a:lstStyle/>
            <a:p>
              <a:pPr>
                <a:defRPr sz="700" b="1" i="0" u="none" strike="noStrike" kern="1200" baseline="0">
                  <a:solidFill>
                    <a:schemeClr val="tx1">
                      <a:lumMod val="75000"/>
                      <a:lumOff val="25000"/>
                    </a:schemeClr>
                  </a:solidFill>
                  <a:latin typeface="+mn-lt"/>
                  <a:ea typeface="+mn-ea"/>
                  <a:cs typeface="+mn-cs"/>
                </a:defRPr>
              </a:pPr>
              <a:endParaRPr lang="en-US"/>
            </a:p>
          </c:txPr>
        </c:title>
        <c:numFmt formatCode="\:" sourceLinked="0"/>
        <c:majorTickMark val="none"/>
        <c:minorTickMark val="none"/>
        <c:tickLblPos val="nextTo"/>
        <c:spPr>
          <a:noFill/>
          <a:ln>
            <a:solidFill>
              <a:schemeClr val="accent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4980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'Data Prep'!$I$16</c:f>
              <c:strCache>
                <c:ptCount val="1"/>
                <c:pt idx="0">
                  <c:v>Employees</c:v>
                </c:pt>
              </c:strCache>
            </c:strRef>
          </c:tx>
          <c:spPr>
            <a:solidFill>
              <a:srgbClr val="FFC000"/>
            </a:solidFill>
          </c:spPr>
          <c:dPt>
            <c:idx val="0"/>
            <c:bubble3D val="0"/>
            <c:spPr>
              <a:solidFill>
                <a:srgbClr val="00B0F0"/>
              </a:solidFill>
              <a:ln w="19050">
                <a:solidFill>
                  <a:schemeClr val="lt1"/>
                </a:solidFill>
              </a:ln>
              <a:effectLst/>
            </c:spPr>
            <c:extLst>
              <c:ext xmlns:c16="http://schemas.microsoft.com/office/drawing/2014/chart" uri="{C3380CC4-5D6E-409C-BE32-E72D297353CC}">
                <c16:uniqueId val="{00000001-D7F0-41F5-97E6-E624114247B8}"/>
              </c:ext>
            </c:extLst>
          </c:dPt>
          <c:dPt>
            <c:idx val="1"/>
            <c:bubble3D val="0"/>
            <c:spPr>
              <a:solidFill>
                <a:schemeClr val="bg2">
                  <a:lumMod val="90000"/>
                </a:schemeClr>
              </a:solidFill>
              <a:ln w="19050">
                <a:solidFill>
                  <a:schemeClr val="lt1"/>
                </a:solidFill>
              </a:ln>
              <a:effectLst/>
            </c:spPr>
            <c:extLst>
              <c:ext xmlns:c16="http://schemas.microsoft.com/office/drawing/2014/chart" uri="{C3380CC4-5D6E-409C-BE32-E72D297353CC}">
                <c16:uniqueId val="{00000003-D7F0-41F5-97E6-E624114247B8}"/>
              </c:ext>
            </c:extLst>
          </c:dPt>
          <c:dLbls>
            <c:delete val="1"/>
          </c:dLbls>
          <c:cat>
            <c:strRef>
              <c:f>'Data Prep'!$H$17:$H$18</c:f>
              <c:strCache>
                <c:ptCount val="2"/>
                <c:pt idx="0">
                  <c:v>Finance</c:v>
                </c:pt>
                <c:pt idx="1">
                  <c:v>Others</c:v>
                </c:pt>
              </c:strCache>
            </c:strRef>
          </c:cat>
          <c:val>
            <c:numRef>
              <c:f>'Data Prep'!$I$17:$I$18</c:f>
              <c:numCache>
                <c:formatCode>#,##0</c:formatCode>
                <c:ptCount val="2"/>
                <c:pt idx="0">
                  <c:v>8142043</c:v>
                </c:pt>
                <c:pt idx="1">
                  <c:v>108507296</c:v>
                </c:pt>
              </c:numCache>
            </c:numRef>
          </c:val>
          <c:extLst>
            <c:ext xmlns:c16="http://schemas.microsoft.com/office/drawing/2014/chart" uri="{C3380CC4-5D6E-409C-BE32-E72D297353CC}">
              <c16:uniqueId val="{00000004-D7F0-41F5-97E6-E624114247B8}"/>
            </c:ext>
          </c:extLst>
        </c:ser>
        <c:dLbls>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entityId">
        <cx:lvl ptCount="48">
          <cx:pt idx="0">1003</cx:pt>
          <cx:pt idx="1">1945</cx:pt>
          <cx:pt idx="2">1951</cx:pt>
          <cx:pt idx="3">5599</cx:pt>
          <cx:pt idx="4">7636</cx:pt>
          <cx:pt idx="5">7798</cx:pt>
          <cx:pt idx="6">8831</cx:pt>
          <cx:pt idx="7">11032</cx:pt>
          <cx:pt idx="8">12004</cx:pt>
          <cx:pt idx="9">14713</cx:pt>
          <cx:pt idx="10">14808</cx:pt>
          <cx:pt idx="11">14882</cx:pt>
          <cx:pt idx="12">14987</cx:pt>
          <cx:pt idx="13">16121</cx:pt>
          <cx:pt idx="14">16480</cx:pt>
          <cx:pt idx="15">19283</cx:pt>
          <cx:pt idx="16">19840</cx:pt>
          <cx:pt idx="17">20487</cx:pt>
          <cx:pt idx="18">20543</cx:pt>
          <cx:pt idx="19">21196</cx:pt>
          <cx:pt idx="20">21412</cx:pt>
          <cx:pt idx="21">21502</cx:pt>
          <cx:pt idx="22">21512</cx:pt>
          <cx:pt idx="23">21789</cx:pt>
          <cx:pt idx="24">22869</cx:pt>
          <cx:pt idx="25">23035</cx:pt>
          <cx:pt idx="26">23097</cx:pt>
          <cx:pt idx="27">23117</cx:pt>
          <cx:pt idx="28">23132</cx:pt>
          <cx:pt idx="29">23161</cx:pt>
          <cx:pt idx="30">23611</cx:pt>
          <cx:pt idx="31">23624</cx:pt>
          <cx:pt idx="32">24230</cx:pt>
          <cx:pt idx="33">24293</cx:pt>
          <cx:pt idx="34">24561</cx:pt>
          <cx:pt idx="35">25623</cx:pt>
          <cx:pt idx="36">27664</cx:pt>
          <cx:pt idx="37">31410</cx:pt>
          <cx:pt idx="38">31418</cx:pt>
          <cx:pt idx="39">33025</cx:pt>
          <cx:pt idx="40">33145</cx:pt>
          <cx:pt idx="41">34626</cx:pt>
          <cx:pt idx="42">35022</cx:pt>
          <cx:pt idx="43">35364</cx:pt>
          <cx:pt idx="44">35841</cx:pt>
          <cx:pt idx="45">36208</cx:pt>
          <cx:pt idx="46">36684</cx:pt>
          <cx:pt idx="47">36927</cx:pt>
        </cx:lvl>
      </cx:strDim>
      <cx:strDim type="cat">
        <cx:f>_xlchart.v6.1</cx:f>
        <cx:nf>_xlchart.v6.0</cx:nf>
      </cx:strDim>
      <cx:numDim type="colorVal">
        <cx:f>_xlchart.v6.3</cx:f>
      </cx:numDim>
    </cx:data>
  </cx:chartData>
  <cx:chart>
    <cx:plotArea>
      <cx:plotAreaRegion>
        <cx:series layoutId="regionMap" uniqueId="{A21BE641-F2F3-4195-9AB7-9794B7369248}" formatIdx="0">
          <cx:tx>
            <cx:txData>
              <cx:f>_xlchart.v6.2</cx:f>
              <cx:v>Employees per 1000 Capita</cx:v>
            </cx:txData>
          </cx:tx>
          <cx:spPr>
            <a:solidFill>
              <a:srgbClr val="FF5050"/>
            </a:solidFill>
          </cx:spPr>
          <cx:dataId val="0"/>
          <cx:layoutPr>
            <cx:regionLabelLayout val="none"/>
            <cx:geography viewedRegionType="dataOnly" cultureLanguage="en-US" cultureRegion="US" attribution="Powered by Bing">
              <cx:geoCache provider="{E9337A44-BEBE-4D9F-B70C-5C5E7DAFC167}">
                <cx:binary>lHrZdty4suWv1PJzswrzcNatfiAzU6NlW7LcZb9wybaK4ACCAMEB/PobtHRul+Vuex09KFeSTAII
ROyI2Bv/9WX915fu8SH8ttquH//1Zf3zlYlx+Ncff4xfzKN9GH+39ZfgRvd3/P2Ls3+4v/+uvzz+
8TU8LHVf/UEQZn98MQ8hPq6v/vd/wduqR3d4iA/HPtYxvZseQ7p9HKcujj+9+/+5+dvjt9e8T8Pj
n6++uKmP++uq2vWvnm9dfP3zFWHs1W9//PMVzzdvHiz87r6v4+PX3+7iQ3wcf/jd48MY/3yVCfG7
lpQKLhUVGjMkXv22PO63sCS/c0w0UppyzoRSr37rXYjmz1cS/045k1RQojDhr34b3bRfx+p3TQnH
WmMisZZE/o9t3rouVa7/H2s8f/+tn+xbV/dx/PMVpa9+G54e21e3j4gJ0gJTIoWmisAEhi8Pt2B/
eBr/rw43ocdLyx8VLuOkj2RgQ9YVaJjr7QPn09A+sCzw8dT7NCZ2iGTlZi0yV6LPVR9YnxWOrK28
1Ian6dDqrPfni7bd+LrjdshS7tqVD595G5vVHcBWXUOLSkqGH+Xq0nTbmVV2D0rxofxCLfXiphK1
H2hucT3CVNjAg31jMIpLf6g6Htohdwu39hrL5GHKlbU4XRFL++bvbJwd/OYfW/r/MJJ8YSONNGGa
C6YFbB9B4BH/tJHEtp6MMOqxXFzf+PNoWcfOOzaPQZ5vYxXrpdjqoav/7lBZk/L08+ExeTm+lFRS
wqiisFMwme/H3xqqRoFE/bXBLW3rIjrKqcm1JplvTmFdqhAPwcSKmTxj2Tb0bxdG00gKzDax0Mso
TD+2uXOeBnyjufJw7+eTJPj7SSrGlSLgmIIzRTFGLxzJ095urunJvYqG+uEUh2oY67OY0SmWOU0B
/IkglBA+lWbNylgQgZP3eRh8aB8yg2ET8cr3S863Y/vQ6Uay83rpVrjk0+LETelXeKo2dITXpMqK
8dRmMtDToMJMxyIt/eDS4RdLe7H/sDSNKSOYYIU4w+zF0uLaYtlNLt3Tam6XNo/Bi/l267bafYlI
taTPU3R++yBJn81tbjOHbThfhe2qdNyswLE6aZpNyz3ERQBzLLKhuL+k8wY+29eZXucztnQD3Bqn
WsCqybDAHkVtDQxYxxLBN4gwDKawFQNTxChNFgveTc225EaTBr492aeqV9c+/NwIADj/xAnFBAUP
lIQrAB0EYPG9D+JlYyIJn72frXTSn9xWy+6GGLXObQG4Yqr+Vx61v/If0LQPyShHBAEEIsFehh1q
XMnEsMr344TBQ2KKERzKbxHsw5qBOX4sl8ytYy46msDg3Vz27YNlDIGVlrB28a0UoyqbUxmZmm+j
EGS+DZ2Dp1abcbiy9qO4ed62yi89mHLtVA/os41o346qXfeNyJoaw4dOjZ5vkbMOZsLbFny6FXFH
qZ9bm2n6w+Kl4BQRgjHDO8x/b2/KszGr0JreG5NEV+ZxaulQlAsqmxtBNhbS0ZsgBpVrQnRj8hB8
7S9RN9GV54M1PrsKlc3Y69IaSQu/uLX6guoOnS/lxMShlb3rvrKm28KtdcJCUt5wt7xhM0brdlBN
r/lQeEbZOJ2Whav5JnhTri4XFll8TVHA+tD3QeOiWeMUytytym9Nbvo5sLWo1naGYJi3sKQuXzPe
sOakCZ7YnehiYlWBVjwt09mgF4PLo0tlFS+ikQjMKbdu2TYANXDF4WJtUznlfhwacZq1rOiB22zd
3i/CkfrDxLqqPFAWCS4SZtqlXFRx1Addk6UtKt5V55LQePAOLdtVqXuEzvCCDTlV2agMOg6ts+w+
8blqs3vt0Lq+X+NK4+tsjH12i1gpp688CBHuNzlXvcsH57AZ3+l169qzsobcdtocU9blunWUmEKG
bfTqM7aN6r8aMrh5PYCrJP+op7gsqGi7ZcTNeSx7z9VhahHvxFlps1bcaCyztj2bxUDGzjwa1dMI
Vl4xVYG93qibwaU3HMbBvKMCRYGOfc+GQV5MuqxNd93ztfXVsZmruMzXCy+ruj6VzC4Tvy17Qv2F
aJip1Al8RdA2H+YN6VB0o6oXnVcZEz4eTBm2Jl0s1ZiZ+myp7Spc0eqFAcDOQz3xv1w2CT5egHMs
WVks1I6QXaZhbeAlMVG1ijcdkRI+4tPFrK47uIc0ZTDc5kbmP2+T12S+bEQYKnKO1yyTskgNbyd5
tvYNtl3O2ZylJUc8q2E5FeWQVB7WMgmki4Ybzas3aRmWQb5tyqxZupNsaUaGi3ZKWs1vREN5rXOv
dQXAJUPkpv0gq7LMtivGuhEslSUPkP0aUNsbfpXRMsjuGte+xt3bplkaVR6XBoCgOroaU5g7QNY+
pTRnHSJHVJlU+wMa2iaoQx9Rxvu/SEV6GM82ndb3U6W8L4KQEixL1FRDBimwMPtLYP40dLn3ekXk
wMwIqy8Gg3sqTo1ZdovRLrbw4UYTs7veyh3y2RwrJQu9RAcOsPWEiLOog4Xnhqelmsg3MJ9vJPxB
LhlLGK0zeIZ34HrfHjwwQ/j/wd2627lnuoFKIpuyAFuR9a0y7NF7pYU/hbpW8JJF4SR9USvDpwx2
kE1++hCbfqp7sFdmNndmpo3h9bVq5D7lGnZ62O4EeBaMQOGW/1xm6+5gImT7zvOUwbVO290084zh
UUixyi8wh7kfYdjieT0hUOo/Q7ll4BpfByfuWs5KTQu26ASvH6TBYItn7ym3UcMrZZPtiytj+maM
CbwmFGSULWyO5hvfv9GRt68pqkN292zq7Onxfxv56TnRJNK+lmSwMAHcZ2b+3NZiqMNZ3dMEi/Zk
g14orwitanRHkaiczvnTRrltjuBqY0xTqC56rFPJc9yaOYk32k4OrDQT28EjZNAYZgU9QznrvEWp
gu2uLCdwsZMV8p/1kwXdABEEuPa0JkPqKflicL1Y8HmalIGfoaetfXIPUbYd2EewGn5x5LLbF7+K
ZMAUFQ77MIYZAReT80ia+y2r2RQvYaV0N++TI21TmmCWsMj9LbgOI/yOcknBu8Zo9qk/GTTblg2+
uI46Jo8Z4n3bXGyEy3U4qxAn8OulnhzEtG4qcMphXGB/61kS/xmLqgf3Gbmy++LDXIK7jtDJ7C8k
8/7B5krBR9ejPRzsxvf595OozHI/dVVX1ae+UvBe4ymu6Hk7JonjFX3ylboZdZRnzybXzRxgOmtN
W3gJZAAHgzdD3UKen7HfBLqHyq1R82HwWezrAo1VCYPzxrjQH2I3lPGiW7ynKIdtMtOFdNUezhPk
V7jWpkk06tRCsbimS6rHbnXnkTlkbdFp1tk5L8cqixdY4wmeN9GP8AFFI+9urJ/gf7KLFJ84WjDP
cg+dXHczt7GERmAJDYyOTeXmD6Iv18wey7Ttvr9ogPLmtFJPAGFUMN2kjp2FFGuPa9aXerzgGlLV
+hGJtQG8qTrn2vb8uZloYmdCc5pM17vhS2Ijo/R8aAyY44x+ixnvVAcGG8ulLbcP1Ci3xHtPF7OI
8/i09FVXI5iIDuvWworaahn5UWwIA8rFwHbz4XXYvQYJvbs4tKFgCDW2C1gAT2Rfb6xrAh8BHBye
97Xi8K3uNiE+aUbaXufB1EnY13TAAZ4QCe/xPfNpBL9CihOfb5h3oTxNvQ8luahKv8E7tnWBWisv
saI2O/ectTqdlbjl4pO1qXV9EbuuS/zKtmKPp8iWGlqwqlURoJKKMkHOGxMgTXOC7n833lRTDPYl
k2qhE2u6voKfh9TBKj8uUJ6V2eVSjiHUN5o2e8/mJkh3r2VbUhHfseRtKo9r2WTJnMQy8G489C7D
guUSl0p8YhXFsBxIhho2f8vYBqsSvd3ThuXl7m6BBAzO92TJJjoo1WmNajpfLhu3pXzXbtOS3QUo
pkd23AavxSfAW/CvbBk2sEDD0L6GcugzAP/Nht2AXQ31KlTW2rpl+CR0Mh5/Zmsnuhsh/JDKEyNu
jNnfS42btTxCRqMdz8eOtj4rVIdl+KAVW9r4HlW+qaqi5Ima9XaRUNv4r3quZ08+jqUaAzoL7TRb
XWRkG9sPG5sIc/kE2WGd84ixg5pSSq4nPIGX20aTYoaLmZxzuQAvsR6eV/K0l35oNjAP5zTty/oG
N1037/inU7WjCVT/e/DWo92f6L+1N2VD9mscowyeSFXaHyzpxOGJGQil/fmuHCCUK6gWy5stJjwc
GwjUPSq13e88uyzUlIBEmkOrb/IR6gDxaYfTrCrCmgKVOSYBqbeTkdXi8gX1DDY6baUmF4vv9yiv
so2B9UdgCeCDQVkWL/yGwL8ZymCDEewbzKutgWf69DwQDxpSmgdXye6eOra+bjbZ5k0/TOxd+wRY
bTftb/YKI/CGrPPZPscgAmMHW1nvytx4MWV3U80HWHNcgMOZL2tS7WWcYSuMIedun9b0LeAy10Ie
yUs+7UE+kJ1kOvTLuvukLDfS1jk3Y2/t0TQdROPpySBEyB30WiX2EouNOGuuDKGdVMeft1cvGnqt
KOADeDABcBNYiBcNvYkCitN2IHfGOQGzllW1QjQsDmDWZ2yPoG5u9+iaa7/P/efD73zRPxrbfXgh
mOBIc45h/Bd8UphWly2jFHfP0NgAPO325woi6edD6ZdDMSQRgrEYp/Bf7G39P+i9RbVelVBK/ttH
ULs6V/ihZOyN1HL3bi3MvqlT3cAOOxYYbNkzOP58Lt9TCBwh8B+FOSweyFDw8xctbTlTkiKE3p2W
DGCs5nivx8dRSXrcHJTOv7LzjwMSrYE4EEoTAXv9grNoTUC4s6i89WsPiaJqIeNfyNRC7D1H9s8X
iNF31t5XSJlEXGKiCEaMvhhw7RpW9bETt8+IsZhNgRMlQRPnp5WNaj41Q7mFd9NCU3OwU7/jOQ0A
Ddm4MUhEv5jR954OM4JWSmlIXlJzBhTdPuN/7H/SKFtkov62ewqqBeo6iPF1akvA9VrNNWyBYVOC
yNQUkgOUFpnZJ9IM1E9bMXvo7E/cUsdRvgK0pAKg3sPjEB8lvqkThX6yWELco2Z4gtmfL+IFDyQR
pbAIYKcFNO8/UiGrqTNiAs2+iizMMHC1yd1xOsV2AO4D0DqfWo6gBPr5uN/bDjYShtVAeRHgoCBm
X1Iww5ScdBlVXyvoLUaRz2joxr8MK0lf5UtTT/WbvgTBI+bGOOi+frF3L0IXhocwALKRaNg38gPj
VvG5ztBq6FcAdwjUgi9I8IenlP6E5XWGHX4NyTVNd+2I0AaobeoOjPJzQ3wfR7tHE8EAMRUACFjj
ZeBGUaMmtX35pdRbz8OZ84Mt0zEr7QilQlJhL3R/PuSPi1dS7RipkEZUsxd+a6Qpuyah8JWJBQSE
U8Jiw+2Jh2UC960VMIOfwgRWh4T4LZk6lOagj3Pt0LD8whHwCzIODKAhmr9pABS6rpdRVGmoHfQQ
s8+mDhLKxDWavW6zqzOjK6alYRsrajsmMuSrBpbc57xGZrqzA7SMRZ/h0N8BlWsB4jx3gdzaue7H
zz+32Z61/pFWJMYUAbfJOJYgD9GXaWVaShWQ39bP61MwIiCVwFjoqcJdA91bLNLumN/Hxe0f9VBN
/6mxMBYSqFso1hWQg6CafA85yhNocUfhPvcdz0AeakAYgcJ5TihCHUxLDpLSWE3A6NqG98D1hcEG
zM9V1uzkuTcg5OyiUtrL7b7euvmKQbJ29hccK37pY0CrUiGhqFAEdviHKmClIBbofqOfx5IIqJya
OA7d9BZq4nroi8UnD5PLpJ3hnoOqHHgv1W4pu1uGobwYdeiaqrDbhtIV0K09kMW9RgKEjYkDhXkr
rK42C62wXoE5JlmTgPGHIq2Dt7Z1CaXXL8IUv5BgYCkYuBgtEKaQ6UGw+t7y4Jm9n/t5+CS543vh
9dT3lOWkoZ7Cm9zrujI9oedTzTd967UG6Cvg1rpEClkBctOvA5q9RHEClJiGQMKYQAXwg1u0azva
0rjh0wCdWvBHOraKvSbY0HRFR+jrfK7Luds+WLOmJPPJhMWbAgB/EbeV38rsPFjWbB9CNgFnr0Al
ATdZ2Ww7fdZOfN8eN1INLpRmCdz+EJp2+7B1YpdsEPRwsAs1WB82yPV6l1WeRCll1xX2jvIGqpN8
3FAV1WHgIx1PQk773rXrrqgc/Lfhtap20k45oDlBUgNdEmZeZ9ChdUUcuAVpYRQ9CGB6Dni+Y9Rt
8TqEtgx519lAbJFVpV3PKwa63cde9SX7MKN577akqkAOmj002/QXvvESwsH6EkkJhQDbdQX8wjVo
mfoK66H7tGFgaat8JUgOY764xnUXdPILAMV/hkZEAhaBYrYL3pC7X44IHdxoFkuXj3SbdmdcJrbD
3zPxJmYPHXbZ0A2wciFTHKvXEoAF/PTn09iV8u9QkUpQdSQkLk4QAWnyxco3Ok8+08J+sKy3kebR
Qfv26LzxgEamHXt8DKV09dt5VDuBNBjugNxSkcwuB8pz6aDfJJW/6qD3vluBqVUpHxcMCmBUGaoL
z7fVXYETIZM3IBXUQ85KgfdgNwj80M0GqouLsmnjHvkzVOpvCOT7IeW0DRSUv5+v+CWuKQoJCsoN
WDWslsJxg+9hoBWl6Rc/yntoURHo4zwEkq7IvO1+y6DIYucGL7uoukINBx9V/CaaZ2LYXZpOzULK
O+Dbdpcmvobu/7weCN0h0oMshk++m3dtd+NAkKRDudhdrscJqLoPQWIPYfTzJX2/hxxQA6p4ijjA
GsZYvRQfgXnxkazZfGPGdsew7RsVNoy8n96lTE3s+j8fjyMofPY/IcQLC8oV+Cii0HTzTHyslfFN
jhz01i4PY139R+IqRxCXWIG2DK07NGs/NIR0KcFd5rq5eSImgCbd63HZdtAZ9aPfKYOfL/D7DhQU
eg05gkEPBudRGGjaLxrgJW1rHTbenss+Cy0vpLWSfhIBWqZfNWE/DgVbpyA3KQZaj3xZDtiS2DRV
ojp/qlxnDvoYdBLE21/WqS8SILwdTmhoqJjBisAEQ2/9vef3KJqyWQf9BTVwUOG5sSKi3cnCQO0u
KCxq7m2BLAtE5jJ0oAPk3YbwWETar/K+WRC0wT+39vMRkf9bm3HoIMAEGg7ufKvq1UvGASEAdVmb
8SxsBJnxSPi6tzITYmRyf49bD9Vw4cYKVH+d23IDHSOPvIrYXgGPBEeDqsK1A2iS14SBKobe2pJX
lTtPwFpxd1OudYvXVJQE8tXH0XsLBH1oCOv90XbTRmKBHBKjPajAQQS+pit2VLzVT8VAK4Amp2/K
3mK/vm4rM2s4yjPNosag1jVwhOQcKHBZ20OXNQO4yDN1JjP4mcnbJ8ILuGMFaC6+NdhPJHj7zZqL
sQQyAIgWO0G1zCSDGtoRBQx2TyYwN5B/YpI3dOx2mjF7Yt0GqKxg39Cg8Fbn7Rgt3vJ+DLqvD2KQ
XTPl/xbjPBA6Jn+m2L5xe5CWF7Dv5tVOL0k/g+YJrHcryHFQDoa0LfDd8yUCqKurolvtCIAGJ026
prunQMhqeiNS1Gy4aATKdplqnAPUAulJIdBLGqk/mHaycCAAtEEJ51/yxkTlyiKbXLUgm3sKp5rI
W+31IJdj5QXj/j1Pet7cezgJs6dDYCcRETcujnC85X09wDmI6gB+Dr3IyQSPcVNYDHTo3wlEkVFd
crEu5BPma4rqBgTdcnjXa9205Nj0Y4ZAowFAW2MBR8ygED/2LsHeHpaVbCHlKAPNbC6ANMRcFYml
crlu9RjHLYdadqlB59EqQFFVGzSeMdTF5bNAtk3mUDKggvvcyt6Gv3rQBLMpV0/5+hkjPRTTlbhW
FhiF5tSbTpAJ+N1vDCAcydgZzNTHvcx8co3uG0/Zy64FMSFoaKeHfA5IWAwIWzkJ0yBtS/KlzWb9
Hjoap+6GXmfdyda84rmpquWOp5o3h1Qv5VnNZnpeI7pd2LDO56CxuVsZBClWzc2NrGOH4DTDHN6X
4NTnrOJuzCH6zOcmDN1fFardYdW4BJWko/EMZBgQO0nPr9SAPrkWwrFfBnEtlno4SGYM7C7KwqmR
Kzs2rp7ebE0X0ZF4Go8qIdqBxwr7xQzTHcFsuAosq67sPMYjH+FwBHSx1fnsJn0welHv5GA8NAVD
/bUefXnozFDlifX9gZfaX6qN2FMqeygh+4EzeLVKfcGaXp4WeOWFAqXgc1jddAZNU/nV67Y7a1fc
bXnSDT+ZBrm7gcGpkbwD8XDMM+qq+2Xd1EOX9RxEpsm+XxSpj4hEdMmQNnXusoxeMxCQTyGO/ePY
yPIdyNo1kB2R6q8YDiEB044HfDuTxtSnIfXZEY823o4zAykMoOAwpnW6pGNIbc7toopS6tKov+qZ
6HQB7cv0ZSSswUc3DREI+NqalM+Uq0cVubSHrMzCpdXQyxwYjs27daYtMPjWXfExYl+UyrgH1IzD
9SoZuhoF3j205HsBVs3L5QpE62sk2/kCzmVkl3VLDTkoQL+veFlon2+bwgYEnSH7uAx+efRZthak
xtvDODaOQDsywLHGbRvBc003dDnQLWE6DNvSrpdiqnyVIzzUNwlLAGIg+4t5oR29ZAp1w2VYfTiR
YSJXvLNrDmcQPvAlfUFTWd4wDOEzj1M8gOiN6rxa7SwPPDl6ZDL2N4Nh4WMaVmALEdTG1ZhPLTRQ
bSHrig95NlH2AGWtyynp+jMHDX5OkI3vVty370aTYlu0MVb33iT/V1gHS3K/TmtR4jA0eQPzg3JN
gRoMgbearWCrWt5qMpqu6Le5eWjssOVw/Mh+6F3tgdWb8TsNx1suBhJUMQVUXrK6Zw+jEut1s+Ew
w4EYNsGgZczLKfOglUzVtVCZq/MOt/ohZFBsHRQwh03Om9G/FYtoTwD0QhS63uR5xM68hSYfGsPF
hHvi+uFsnlZ81gyzeAi0vF9AwbnfvN3UmR9Yyhtvq8cEBjkzUU7TEQjKdBeD5mUemIezhG0Vc2Tm
+ULodjjzwJDivJKjvtd91J/pOtD3TSjd53mbt8cJHPwwS0deM+hKzhBkioNffbwD5jPL+dLP11kY
208bcv0Z7XAJtA4cdLgxCTHIZSsgEmpqBUolb8W5hD6gGMa+OWv5FO6BGKIw/5lcYtTTUyPo+BEU
Y/9W9yac49TpO2vDdlWNjT+uEiAXBBpb3/QMxcswseVtP5bhfVCKfaHtDOBAfJpvWLIQPKC2vsE0
TldrkMtFvazUgaKo+rNSWHYA4QZOfoIgpy+2LJTXZWnCu40oc69A1PvoNxXfQ8KvziHY5OsNZxEI
EFGfOl3yazh7iWkRre4Oaks9BX8P/WmrMve2hcMhb6vVDb6AthKdwtL4j0OcWAWyz7ZdB82mK2A5
WtCtrHtf0U1bwGy7Hqls1TmG02jFPGzsjZorCmdGQvY1KwkQWNeJs63WRbIr1OAHOcFhC3XdcjrL
eEQutF3MOz2U10s2VG9B/+tuMpb6D10MD/CbCo4g1PjDaKGCaSbZ3Ky6Ae6WD7i+1G4gn6asnJai
Mwt6DTzBdF+TefZnhnSUFdpgecVKF9RJI9vrS2vUcIAThmzLZziJeVB6szJvtqjn3NKyv3EZ9ENX
KfMSbC3QEsO11zMcQcJrwMtFz7x9Q1eWvZO9rodCrMG4o9FDuG2qerZHOIyYzJWtW1cfstBzoFPL
Emdnch7H7TapPkzmbC890EH71XWuBau5pWovW6BrQ1dgCZVLwe1Uzq9Bx2vGgk64er/IzaXCoU5c
A9dX4sOCoUS8ikDMxA+8Bl0iAI6EIXIBhVPVAydxPkchLzlZUd+832gqyZyn1SM9XRIAO3ShGJxV
OfNd6sPBzCOf7nRWtQ2071WnQx6ysuraImN6vasptNw5Max75xLOtrMFJJCmQNITdL3oZu0LEuCE
yWvZAZwegF3bDg4018uGxLoQWLaXMUvr2LzpUib0RsH8PVrtARRE2+4Uz0C4fRMja1Q8JNGIjsDR
j9FBPCg4eFdMOBF7ZHjqzHVr4Nxgbns4gFBscfV9Tm3a7oDcadrzvmbcHauFL6/bGvrpQ7PW6zmt
GFYHoZCRwC83AV+0VRjgoNzEZcrJsqb3IpJ4k3G9ysI2JRtzyVoKIjGoyR/wkIWvs4bShIYhkTPn
SkyP1WzIRAoo4UzmCjg1CjzWkksjblPGnITCbFKp7gpA0ggPOJTVa/0FQMgrcfxvds6sOW4dT/af
iL7gDkRM3IjhUlXaN1uW/MKwJJsEQRIgsZH89Dfr+Nwen+7o6en3ifCLF8lVJQL4I/OX2alBFWk7
hyurxZiHeVeraJVpehMGLrNfgBmOzamfafK9de7bvnftl7ZT31qm0r7ANWF88j7v64Y2y5Hg8CDY
JLIFYFa+Xw1bNNwuMbcH1y2sVLPaVZFD41XFOKbj0zINWbUs2VZYyhPsr86M76Zt9kMuBwBm7drc
gH2jpAxX7edqx2GT3DPdxU851Iel4g4uJJ4HPDAFxDT/EUolHtQ8aVrrPG+vtZzkk521aWu7tq65
AM/Q5kUwruxilP1cRdM8HMTcpE+TIGHNTCevRJMGN5FYk6tIAaeTrQZWyXAtqqKocd8nm9vjvkbR
UJAch3BFmJt1rcJM3kJ89OZCLb4pmPZkLWfR9mWSaacKFo4NBGioqfZCZ3hz9Qb84mlvFv7RgMic
jz3Ir2rBovTFvonlFqc8Dn+eiaHiPeYLvITmEacOP9icZaWdVPfc8zb8Bk94PQAnZ0dJ2HjIVd7f
Bz1ZSjdm3QuZxi9DDxmpxcXtkEdN/yp9ZGSRxlK+xqRZLm0UN2vRLGtPSw4J97JREd50S8Be8NWV
uITHdz2uJZfOh/xddHH+TTRt+CLC2F87MIVVqmZ5EQNmeAYWEonznraqIu7JfJM1TYy5FZvj+SFM
3hNxvqRv03g+tddIv0lHA14PGQeiB8xBZhdTOnFZ6oWvBhTULmFj574Py3jAPlJkAe/Tm0Hp6K3r
OiOKaMBrKPoh72gp8H1LGLN4JrpNpRdjZqO8whXeDQtmLdFejkqarwq3tq4UKo7JNxy8filYQL07
BUZklVF9cOJzGn05E62HcHfCFnwL1F2arv2bdVTheMDN8yBtA05fNml8DahsuVIbcOdiaTHSXK/a
qjcRmZWXGga4K7gb1ndjNqwVLErc06yCv/7hwFO5AqyYq6fexZfQ8FvA/HzdMcxDc/6RQH9uDmPe
matkw/2tCDCOmGpo5iCtg3mEYUB2lz4bPQyvuXJrKaAzVwMJZnJrfR4+gfuiDLw6ZrgiM74bjh5D
1SV2v8nX69x1PUY5htETfHEgb+POh0Fpm7OMt40kVfWiHOxJsNJ4iMqkG7s+Ee7QugyQzyjKXmBI
W+rzNdaVzTbzCDN1PDX7y6TtJO4iGXpd4VbRCGxpLJO7KpfQtsN2DEjUT8ldZuOGFiKcefx9gOYc
TKUL6No3B6BcYiU3opOZZCVu22uiCrt3o7ZljgM33aoOZBUdCgsrKNmqyW3NKK422kDSKbXFBUzd
Dw6qVVys8IiYPSxWzfylbUUi28pjqQDwQUoonpbCrbPMzKHFrDZd2M4G408969WldQcyf5zqdAYF
9tSQCFTQUQHhN1O1bElA+vveKoGfQxIA5Ld9YS3oFFesC97+jzFgOcHnqPtpq5jq1vQlXdKoe/qF
EQTqjMKYgZ1N+yhsVnXFGCJEgAGxj0O/wDrc8482aciaHWHK7Fhvc6gZf7XKd0FXTBQCXICbbdP7
DEcEtmPzbDsICvTaYKBcb0nPyJaUttV2Fscd3BV+Wjjyetm/xdRObqzSwdhtuoot3t5eINUWRboE
jh2PzVNsUsWzOoPKzeNLYu28SRDy3GDGwd2hnQ9K0R77cWBkJcDH30SIGWB0Vww75sY4hiiaHLnJ
x21T4AMcPH5eAva3g0/qdloTPtTKgwVn0A4mSa93jH60boIha6CXu4YpW4TJzJI63/Y4OYJIG58V
tcOXANy3KSKJUFyRWKydGhz0+EEmgSkL1lm3iFpmmnWVW0BQr8UezcDi9sxuf1h0l4y37h6isTuB
UODXkjRxKaLM3vThto21ikfECBwDoqiC4alnq88vZoxweRFPakuKdfJiOi6GIF+zUuUnOPtOfKid
NAJbazI2RYZz1FYm3rdHzQO/YkAIhhoTKG6ITa/S9LhkiRmrZqTrW7A366aKsPVz+EgFF2mFfOP0
vhCglYXuHa4G0x443EaWPuxqjBOLPtkuFe6jDdaz4oKJOprKXXTtAfkx1wSH0cLr+2KjmU1lQxIp
62Qj+hRqmb8ObkggWOZN1MoSgiJPcUPNN3070ozYKiKpNS+AcgH0FotC/qMEbTw7DEhhBOId4tZt
i5v3WCQz5vCbFSjYWvhY5HUusuEyaLWED2ZTOLNIfagRUHG0WV3RKWWApQLTHWF64geTr21QxEh9
nGY1zH1pIZi97UBp8Ww07MEGROJ97uqQhWq93/DDrhLWUFb3oH5/BMDqIR72qr0OsA3rb7hc+u4h
78flPHXFET9hgskulyRP+Ru2yHg7xi7pH6WPmxsEeNqPdgnxyVO/rwhSNBbKyL7ztVCc+C90Te29
X4YObwHxOthM+Sixm+YjnE6RsscQ8mFesV76ixCiBa88qO2vPk6Qb0yFTk5T0vcIzizp09y08mCi
ibxkiw4LliMh0y3DDntP71sBeGK7RdYz4lVktQMRMkxw1xh3zF202YLchJ52BJXaxq94uWw4Q7u4
DZdqyrfoAHYJBCCJEXisWhc7bL0BzFJeGJUj+BK3esZQMG36JrbKXrdR6GhF0lblByC66rNfc4M8
nJnwLsGp5t+SpaNtMWIAv5uD88SraUKnAjP1xotMNAzOuph5V+FA75EJgFxyv49QAIo9UyqrhUP0
o4rJyOt9XvE1bYqgB4DmUVUuVj+97qY6avRaepNurzl2C3e1mmlR1TA7+qjTxVj8d2k640LAoQKN
kbyJhya6ot0gcgDszTYWS9iwqyDoordt4OJyDZS+R4qkL5FOiL7DUrcT/I+cbSVPdb+UuU/4Vlm/
9boYFmqa2nacDth/l3i46sNoSw8m8+lz0HRqvYVyJWKIAXLcikGN4StnYHGLEYjwrQT7TOrcpxsu
BSyCJTo3JB3rMey7zyJdF1/i3MRUh/m86uJlpufPLbvzsYcMHUeyuaXDGL/M4H/bwtnhNdajfFmM
lEXHJ2iPyPqUlLUOj/ywvLaBJy1mqzUoA0weN4sFG6Chu3ybWhtcLD0WdbVwkd8Za+SlSWcYxUsu
rqEL5KegIfQZijHP8Ri02ZuK9rheE6If3bJFF0JLE5W9o/48rZERUPcEiSfXmp503E1ZtbMAg9PI
2Xqc0sgNj0jx8mqBuFUteNSTco5TW2N8Ca+mTXZIrfjwpWu29YU1JiyUtgTcVSrqkQ7NTwTeSJWk
iflCMe4fw6QJ3ySykS8EX5IWwYoPDn7hCwx7erMCPz0qZ7DqqP2O6Jy5V5ZsTUGNJCHWwX7P2kBg
ogmT8YjzYJlwzdBxRXNg0/jqaz9Hy9ceYkdFV1xUZmSd92LtQvkc0CF56rs4GcsEqv6FUlMIiw4Z
IBHH75uF+r/UQkEPWt5wQInRVfBigUC84EYrR/W4JFom6Z3puxm7vKb0TM0vM3LZICXWrR9neA1A
4eRdsgHy3o4+gtEbVbEkgIAuiO3Gfr9AxHAzXxq++vQ9nRIpTr2ko0nKJlmICSrq0sQv2LwEOGt4
bSB3exbyjFSIhIQ7xkZKNl4uIlvIemG3FSpmkUVrekiSydNv2TSdMbNZiWEdsI+lHUkrzHkgaKtg
y9oWqHUC+h9BOYzx4P03ZLSxaBCwTFLgEJ2SP8gcbLmuYLQiQlJr5TfRwUnlrQDHrtrmHG/EMzjD
Bmn7difzg4upwRWGx2u2LM+S+sb1FRBBinsfeAO+9rd9L7WVlfYZzcKaqNjq+c2K3YVbge+i+FZ6
mWAkK3bVYWc4NchZ96yEYn1+J0nWEjYcu3Z1+fzVBu0epQVvqMDfIaWZZ+tVYDQuzFf9ppshK1fC
aO4O/70991fOD64hGGAC6/CM28GAPQf+f2ckIZVRQ5Bf/TFKdQYQ3C/KOU6nBVSEzrvEIpTgyBog
gst7WHT/4gX81d4+vwCgoiDsGAxgBBHPJQC/vwCebgAYWp5/iF8vYPzFHo+CDXjiAglf7Jf/+39+
dSTc/3Ief/UAvEuFbHXb/VmS8Lff/t/PcsSv/zh/zX/94X/85Xc3/7+e4b/9V8cf8lyGoP/+H/3l
O+PF/Pnqzg0Of/nNP9Q5/N628D/9y7+0OXz/GPlUcW0W/m5+b2WAZgFP+J/XOSCLJJfvH/Ifv+bP
KgfoS5+AAlKGn9W5NIGCwfpV5RCEhH0CRgZmEdAmQ4oJP8Y/uxyS8BNg8xgYA3wj8Mi/1TnE6IZA
pwADFI3wQY5v8u/UOfzBdvzmMxNQkzTHdQNMG9oj4IX/9VEiY6cIco3BFQ7HuWcH1EjQzb4sjiXT
ctmTMYeeLxilXX/MNcjO9Dpmwwh3cgSGmpsilVui2svzmCbimynAxQyyD0a+lvSYtIaF66MVvVmb
o6A85fw6bb3DeLLjTxt7QqoG/9cXTOd+3tuitaNdu+vQjThooUPTPCg6GvgSohUUq0swsDF8g9gP
fMMJ3DjyGk3LGdHKDKSzJwAnwB5rmrQ+f6Ddajt2x7mpPSZNeHUjhZdcpnaCnTPYBYRLkW9Bcw79
ypmq/101P37rQPmnqyYkBETsP181/zl8f/s+gnn59d3OxSK/vuTPRUOTTxQwKDgwwDshThiswT8X
DaWfEuDyePBpBFkXFMzfFk2cfiLQ5XJGCaILQL+wbwN0OHegxORThDoMLELAOSn44PDfWjRYE7+t
mXOzxxmLC8GHnfmMv99++1BFiY6T4MSCIOkL3m/7ybJEf/7tM/lzy/29auWvuzwWI/6bHHM8w/9G
AHT/3dLcQ71ssJqCE0D/8DMS5xiwLaF3owdg+i/4Hnygf/+WAFqCXwddCuQmxY/v9xMFPwukG13c
nLZQsjuSLe4G2xasyZ2s9yob+b8CiuLwH99efm4nSQl2vxCw4RlO/S1pALwznRHwak58WxqYQLM0
17BLW5hRMIBSjMKePROkEKIDsbjkQMAA4X3MoHBOxzltbZk6l/jCrhPGxZ4vJybXgMPCXsjbBFwJ
xopmR9zE2NHvCz+O2RaVSDtOlxjBx4dBgAMdgsV8CU02XYK+VAcQ6vy22Qy/TVqwxlXcTt1xmzEg
81ajQMHo8SFCfu4H8IP9uRPJ8pyr9obYjdc+H6bSwto67VEsbpIEhFPZ9bF9iLQdf+7xLu/22Pdf
IsL7YiLNcEjnbsLVZXSllZM/EdkAGt3n6EgdATeGCpM67KC1DibWV3lo5C0u2IgUYlj9ToY2OA3Z
WTxfAn+aN0xpRbKyJsOwFMl3TVF4k+3jCiN272xBZo8b3kKTA9HR8spFwLyo1m7JNa7om0fK8pWl
Ubrp625S/SGfcigJvsFzXpIOkDyum+P0ZpdcvfZIp3/tmYgeGeaxrvREs4+eom6hQCwzh6kebVKA
y+HrYXEU9xgEYbo30Q00LeEDD3dkgNBagl2R1zkqHa426GnPdNvBOzZ8gRx/tsX7HUZ2AkH4DgHJ
x27lpGzWfnvskD6sdUiWV1SLuINciTlQlwVpsaKX4mMZx+7YTd37tvSqahHtumoZBS0S7mk31hof
Tjc1w808jPtXUPzBQwxq/JrsiBEWeg0FvARHgkrwviFFIJGXw7F30YCkBw426TreuLgmfWs/Wp2Z
NxFu/VDv7Z5NdWA4u8RHoNGGkL3PZig9BOjbaSAQC/Phg8Srx70wuWoCsxZCtF+Yxm1nbtRwDBTF
qQgHA9c8PwFoT0iJeoasyJW56oMlgcZpWsRpCO2/IwfR4B/n3+LGxhUE1A0+cDY/Nn6IrrNO36er
92GBwz/Bo43Vs+IWh+hHAvAndD/WMQ8QjgjMDcpo9jeDYqUSP9n0TYEauMO1F3Gd3ZjHGdUJJSic
R0QzeW3T/SWwS3wb7V1UR9uub4N832vPMv80TcyWYIbdYRuTh8mPX/O4kdGJwzlxSWHgZm3vU8aB
6DTO4hKQWSBVQ7FRFfXFDtmrEu0oEPWN7CbKbZiz/Zr6YVsvBkYQqSk7mIqkaAKM/c9Ce8S5gQVa
7Vt8EHKu7OZ0/zlB6Lo1Q4FAKXX+c76ZrmahzlvgElAKSxz2PC3SmWQFM3Sajt6BVHtZgwT1Fsh6
RfAVqNek4kOw0YPuNZ8ThOkNss7C7+2jE+m5CENx195mM+zWQgLM8vctfAkaFyqbdXfFmsABZUDM
OX2NFNxq0KBTE3Q1WmZY9NwjTJseoMun+Ue+QpIHJIOmhkuxIV+xPIkRZB2uyUyL1wDxhyfmRn5c
yIRtWI55enLEDM95swXndGnUbIW3WXwJRFCSwu/O2yINOnZMTQzPIWrm63Bd01M0BiSHlLVBExl3
Fn6OOtn2hZ7Pf5w3WfO0bda/Z9EEvX4KJ3WAQxlfyAF8V2ETiNvCDsmF0mS6xNWV1Wa0+1SOGMOw
2KmXV3OSwEvNXR4ewkzLCtMfVHXFTDlpQtcC3BFUiqZh3+Brj+Vsgulp16ioKRDssJCKnB8f1jhR
PxJcf67xQnh7EAjywn1h414hqz909YJqpwswKexuSHn2fRghTKHxwqEoSufjQ+BFDp4FcPFUAlHG
36WBGX+CFRieY2LW+0H0GQpr9lE+tWMH+kdjjAixeYjMYt0O1R/n+P/enX414f3TKTAGSo5D/5+P
gZ9/rN/170Pgn1/x5xTI4k8pusswrDEksnJID3+bAkOSfcLBjxgOPV+F/mih+/PqhPsRoF78FSJo
2JGj36bAKP1Ez615NCHnew+yNf/OFBjiKPjr1IRkSppEFF1LCV4QZqdzYOi3EQZKTeBmKQkS1xCc
XJBAhh629z9EJ5Axc90FoS7WUYrH3NMbrZV7yVw/PykcKjNZ9KXdgFPMsNRv/pCjNiT6m6OTfXeP
1oHgu81zFARlksynhDY5nuQ0avX9lCMG/5Ak2EvHIpiQk78AU0WjW4Z5TX6B4xzBowrELuOjEkap
G6oWkoOncFC+ce4w+PFJgWXbJ4d9bwk8MuVRCPUFVVYmXQtQm0N42bE1AwgWNczUeUcSfeiGJFKX
Jmk58IkefS/Yj9do21jNIWuFl7ncoudkg/wsil2GmOJM0qz0iEDVll5YDuSqQbUFz/vP2LwC6wqQ
Gw5YrEzl9x7bzkeb9W1e7ZFe9VyDfSEO84zOUY4CnQ/HucFL0IAVJYRhsJu6tBnrrpoeRi6k5Ry9
g470vUM+uN9oRWV/GlupXjEjmhEie2xOPRyU2iPp9LpBZSto3HYnrvlTO8B2Llbbo5Rlkqc+8s/g
NONjbzzGGmSzTsK33V6AIuu+ArTwbb05fpHT9QYh6KvOW/tVtyNmwOEsSq9dW0yOgVFts3fcfj26
KPwrcoEaEQmGiFAMeVw8r86gDI6F/SVYrTeUTS513Aj7tFOrC5hA49HiIw1iVEilufJHqEv5gWIC
Bjz+6Hb+DJDlpxy4udq1RDWQaG/3bgZiYs2rHPXl6OR0EgioVTnHELCD7NObyq6UQiwDdQ73QKxk
ISLxrICPVMCqJHAR9yPjU3YzZntz75nMCg0xq2DWIu8UNxXKScQxcQn2zN3dRegBwc4NCbcFDlsm
3nXXsFaWG2p8VOfI1aPbBH1S07qnBTS7rgRwQ9+4jdxxdHBqaDevl+uybbWa0+CxPXtuU9/+aDA/
3GHvfkoNX9FitA1HokZ+TiHy0ySyDBl0HOOx3IB9T6k9GJomF9gXugMSLOyABpykTLuAHV3mf8hU
jGgLg4HZYO8oRIsKIsyT/E3GiSxdOo1120LWB8ilKynjsdCT2cp0D0CDETfUYaB5QaP1c5hOaMwY
xHMwNBf7PqFLRiskOE3wNd0wMsaYay67OUUXhUr4T9Q/LN/snpd9aIpe+EQU2s1ZUiBEDbkeAMJV
lhmseAuHp4qTPfgpcSMBwoQuzrSQOQboaundvp0Zt+AUCWIft9D5/GlIhLrPgDhN0ELQD6JwaT7E
ksNYzZtclyEAr886G01pSLi3Rw5M9XKy7TKWW4zKpAoPltiLxpt3OyAyTBrn7pHpCUvn8Fi0zA2Y
Idd1+wBBSUjd5sl2aQ2fTpHxm2dHg0cL5Z5bdiZi8GoRcNPe/ETroIcHBNr8kK3Wdj9hwDCsNc/m
vUDbnvK3EU31q4bM7aJzh9B+CN1IrrqJjagOw92gm4PoSIB1FrPwCOH3sMbRvvC9B88O1KkNahB+
sLoURCOi5rhG1ng4Aq/gRUT3lxXR8Oecw9QZ+uA7ltTXCK54MQ1C1uNsQIvNyS1gWVEtQ9RfTQFQ
HU0BHkWKP49wV1Bbp1J+E+EOHhaYc+IKSbjwfh6bLzMoGNTosZhdq2SQlyEzBxiG7tpZrh4hQwRP
ItH592hMedUKNpewyjAB2rbDMgZbH9WNnJBRHjYChGaTNYgNGHmQ7G8HDd4P32c6yIBsx+W8agXi
YQ/j7uJDM6crsJChO+aDux+6hNd80ycfkg5TtUGee6Y7LbYmmx58vL1OVqYnJB7Z+xLpB6DnnS9g
ccEIp+Ylg1tRcEKCOordRTIAYBMWGgHaUpT52cgEoHpgAtzN0g73KxtWE9KotZIrLtktbVEQF2I/
oNstR23E3R4Qd7NxhrvtZvOKT2sEJqPH0sojW5skao8dg2+MBAUtWY80Bmy14xa0C/Zgc8Msdi1Q
hBv6CVHQhTltujACbkQGP7VoQ/9ogbWDZJdw+xMAr3hv7DSv6xFdbOwCTERTynAlwNDY+L4ht1CT
IEa2NgyCSmkxV/0o0YvIaKQ/M96zKqZiq+ZkYJU28wULGK7Hgfq5zvkX+Gay3pm3uCwrXvqN7bAl
E5CY09odrB3Xy0DMH07sN4NpLGpIQbXtHuYl+uumO3QEk2v0Nsl6Ilt/8NyQiz1Ns1MA9QquzISW
wwmdULQVgMQp3jO00KEAqYj9bs4A45EN0EceAkwx3yJ0BF2h7LYpwm1CL1nst0JtfXiNZ0AfNU9w
ARfip80GdljV/q2F6wNfm2Ev67e0uWlk2ESF67H1A3Z7g5vpS0Q1lvtGRE3ZuVDf+gRFE90QqSIj
7asM05+KzT8Sw4fDkGJgcGvydcRVpxyFnp8Him+1L8kCvHE1P8Ebw0vUvYDDh0xLrn13j2KU/oFF
Ul0QGu3X6J3Cx5CLb3ZsSIXNFCS65O4r3SQODBM/cZ6BCmpXW+Dahn0948NbNMGjPCsJF0iCotnO
5UCoUReMO9k+XqN91dfoXEtKF29vGj5i4RDdLjzDa/AAemrCZvqsSbTfi1ij43HaobgVXQ7BCB+Y
wst3RvSvWPbC3KArmH6e8xRfGwMLXyyIwmGF7Dyw9sHqwd+nqCJ5zfvsCRojcLehvT2XF51iS9u4
XLteIajR4IPueJd8YanwJboSFxS90jrZG+RKkLCEmWyd3xAzgsPMM4eSxlZGH+m0TmkFyQS8mwrl
nQt3cyL7mp/yNaXfPLoaXi1Z31EFYu52Egd97VznTr0y8V06Zq4OdyCy2FmVcWjK2UoWOXbu00GJ
iCLj4wwr6dGDByFgt1yAESNSAEsTPfzUS0yBuOi+xc8UzL0EGbJkR6XCFEtmygwaiTTbbQmSMKu2
Nn6CSQc8y5BrJBT7F50xyG3tfDn4rtmrXnZtObfxx5BpoJcZj97DtofmjjpYhlsit+uF8hKkGxdd
byFLbOs7GehQKWn1ExiUGUqLzm9cFwxHNmX3kFWuGpmbvEIATq4n0ME9HufM5R9Nm0MViHR+x0zK
v6bwbW9CdA5VKDUc6pSjAFWhJg8+OXDrWppYPi5xsnBAt0TfrgJUe0EamRa5UbaFkEaB6LhVb3cT
5cMRDXdogs29OUCIRg4Mr+toliw49mnfjAgIDPwrdjPxFUecfRn8Sp5gdDQn0uf8gqQeE28zZ5fz
5AKoxAEIOTS7+OG5jSAZX6GicizY3i2XLIiwIDriRa34wC6jeXFlB5xdFGsyqSpzLfoaiV4ezL6a
r4TuKBdVIBqpluxK9r25S1pkINDyvAisP9mjaGxGY+uYdrBgOhQNs8WAisX1QfvP0GgihlxMgjDR
zlScFcmgNlfzHuvhCrr8ONYU5ukX9EPs2UsrAr5Xjq44WZGcZViIy2qKbcnWtk5Ekt1mseheXe6z
AMOKfRr2aQsrAB/BzQAd9rUZ0+mwNBTA+7ivwwXYOVL1tG+BcyUioIUeIRaRZm0e4PpMp3XE9rqM
7MmPmI31NNu3aZxQBd7l/SEze3sFgCzDMO9mU5jRjZ/DzkMAIHl09HQU1/CYZ4hQBrRKOw+lCvZB
F+mi0oMPJ/8wJECMq3RvkL9zXNSuD+31OO22SMArniwgpftIwfR/pHm/yDuEede0YoBZ5kyUCBtH
GBZG1bFNU4CAUaT0B8ZNTi14jXz2yZM0bYY0FwY8SXOgWz3rRlb4HnL+1QC4v8w0UkwDereXKtYd
9tGVDitGpyw+mS5Lv0aUj7baPYCdE+rLVfgGk6CpSNA37TV3KJkq8AgvfR3R1lcQzJwq0Wvtsfsg
93btTKBOVrPwEYEU3AXCOTjuAPcrZ7bgEoCSukCDUF9ZE/Nr1accOVCb/xwXmbz/wuoWvpj+uI7q
sxbQIF/DEGmdMWH+xmA9FlTve1plwB9+SKraU2ZHjOCh6YJyRuPJ8957UvMMu3ON5kJx0JHevxMM
1lce4G4xAMqQuSJHiW97+QeupxRXL92ajI+QLdPLXaEiPRoTVaVdGEO6RclHjT4mg6pF0HsEfd9H
1AWH5bL08jZBaqJCx3jyRWOKrM26snKfwr5ucdZhOJ8hjkaLqe2QXwRqchXCakjjt5wdFsQpv6fJ
mpxGsaiiEdiZBomW5JzL7sjbGNy2TOl1zMfsjON0Hs2jgTsOUYKcRseAIS53Dq+k+IMPVFG0neZw
mDFKIdCEDhyoXiFLfI3nBhQlW9N63gTuN3goUVbYc0iCAO5qNuAYRxOj+KYx0xeS5eMp4E2MVjqc
JJPPJgoz1egyIMGGKF8cH9B2PaJBJA/u/uAOgYqe7CqGm1XYqUzbKV4wgYNCHLau+wFIC83ODfp0
UUiJ8I4MsHY1Nn6remitCHLty4B4iTAOh47fHjpD2K1bW4GgKM9OAhJ4HQ1gzYmW8pKT8J5SlFBq
rVc02qj2u86nHr2DZw5ZhTO9FcGMrtCRiDocmgQIN4tfW6Qki9ijya2EpTS+gt96nZHvKTpHj0m6
hggZKPeBNk19ov+PvTPZbhxJk+67/HvkgWPG4l80wZkUJWpWbHAUigjMgGN24On7QpFZkVnZ3adq
X5vKqSQFKdAH+8yuJfp8IPOKlMvFM1kNNg4xVUZ5MGUm6oMbOWtnzt+xwsULxoe4QKlepcclIvLW
01x/K9P89dNNmRu9Xm36rsyqlTLNDTkNAzihHx7TpLXfMVmFQNJ1J+DMLPRAK9GlNw1x1D6yVH2u
nLTkaWndndAzNzAaKznnOIzv0B8IqfWWApI5SH24tB3n7VQfiIIt8o9iJHLw65rpACrzPiLw8H0s
uaKlXTrsC6sDRajVxjXtXBQB2Xx0seqObsF8SPeoSECWXOOzlQcPVZkNWMuOhlsM10/fZ5TUX7mv
cRSbSgRda06LQ9lL6OrR0E4vQxeSVx3GGxOD7zNHqcdEgyjsNp17ih1zDGo1c3Cs4kM4znW7wg7d
4K/uv/iivhnFZK7i1HiG5ogFfLCsrXRI8o0YUl5iJYqVWWNyx5E7BEYf2o/g2BDV58zADRafoZu8
4URs91MbPzSO+IGNhfMfCaFVGckSip7xZsYCkMhQWt9aKJtrPWrMtdSKZwWk4oeUuKC3EbCzjunH
yOEbzynDEae496aOeRK6tcDL74VfBqhFzFaGoUGgmMZ7ItBztcq9MER2Apy9tVtrSjj8F4I7jrJB
v5j+PQ0YdreSpl05vLzQJZzcIMDzSSg2jp41R4zEKOlJpLjqhGt+VdK9yVJb3g6OxcFaZFq1MuYs
Ediu5rzcDNAq202vx/JiwJw88Df8p6z0foB1vrfSisXDS+KjL/XsONlsruQrPsJM9vUuw8y2UU4P
rxMvK3NOdYQmyahCF88NW1KQiw5fvLFogbKMgsnv0esBiiyfCU55ibB3hs1J+KdJl8zYMGIo6/fu
UH+JvPmoeOCDnLA4qSTtBiMjZ53crqFzuEcphm77y8uLVVmtal9vg5KjfsDJ1MCUVp+baLgSjPuG
w5MnHtPexlfltbYknMZicgmuMdf55fR150K7HQ3rJRFWe+pCTa7HxgGDmpvlLtZltEmqQuxVyuWs
sfv2UHaRjnJBdkXP7G+/3MBpOCZBXE1fsggHswElHFh3k6zSzvwa2oN4GD07WztqGpvg0yRst+7w
wNpnrHAC4ADV6/7Y1IhR8GMDEcK3xwiqobMAiN00OvhV3ylvrC5vgxDfOW5oMKn9xo3EEtzT4+xY
sz8Kf662WTLJ91YQrbEhWRXrTJvnj8yAcR+IKdPeGT42t66ea/uUDa9ZwTRUew9O4dll7hZgXEjj
tUqiY8OwaUOmbPrKOYuPViSL9yQV3u2nUXnu4v5DS5wfP83Kfqy1xxoZ+jorQqJ2Aq40+GVYNvDs
zpdGeZX8s2HZ70y5nmff2f50LTsZXmppJGUTJDMW/UQaMfeFULvAY7aHn/7lJBwep8h++mVhjuqp
2/M5mDafPubR955Hz2GFj0vjISK2HJDZuvVEG74XamF3FaFHxHAxNudc0rXTaHCoOX+6m+tuILlo
+Z3aflqcmzRx+qNVsv6QXNFluvub2zmjCoNJ1ExdgTlWEu6IUzXPjbTqEyE3b1jFleuDogS3uptk
GhIjTsWbUyloDGNi65RPgNMkRtzPL33GVPB/9kcz/m7qQJdjt4OdmpxnKWWzZsMCS48jgRPTNHYr
YXRFxza/nIRYZd7+ZJzO+rTbM76tVn92T0daPgQQhtSD3csO8UnPpLPiGgYuytD859xoo292jO9x
XUZhpNZoatP9hIuYhgw+aL9bqd2Wi7cy2KL/yU/NiACaDcf6uXX0o6QtgKxWP+6iJKyvhOKMlxSY
sFrbFgv23NjiroVaT8D6l+Oatay6y8kavPx0XYOt6SFj+95NM2ndSyY1/aIX47QzoGr4XF5b80oa
yr3/H/3YHbzKB8MwEUMZzPIprUqW1VVhe6XBmTGO13+3ZZuNH6UXFH6yNn+zZTeyIIHYNVG6xi9y
hx8Av41DlnNjIkM96rMbHVOLpbLM4+nHp2UbXyoHtdmByfXp24594h94SxP8oo5dbUeNXTcim85m
P1ZrLjtgDMhRk/cZPR1weHFqQuUehlHvNrJ1srMEE9Byshf6uZqr8Ql6PbN7R0E3ibXRCsDefmZl
tKvManmxp9HbF7HAMzvMcsco2QpMmWG+0Jqxu/k0gaPeEmIDivyoc747N1U9bnuYJHvkTBeVRovv
pzglnbfYwRWzjCCSbXFDXOJDG4TYsDiFeye2Ye8v3nB/4KNhpka8SWrmtbHw7krlqMM42cPRYUSP
54CxptVx6+g5MQbozc2xjf3+5tMyDpPra+kpsRnCSd+m3vTOuD0ODAtwdeilyIoixH1UN9Ozlpjg
URpSKZ+Wco2YwC4G7hT8yVdeZeUEDcEj8gA2Zr2YaUm5V5xl9RnnSW5NAVeFeT81ypnZyNr+zsPI
YXDQy/P1n+zmU8xmkwIAytCzhuysufV6tBnf/PKdi8ybVzhcLnY28+/18NqaarodQa6vjCF79lvj
1YxYrEELbhLLnNcoJe9+2TD+jxh4jGMcrT/t6aWrVVtDZNZ+xFaO/+d+9iRXBcuGRNPr8yqK5luT
fNQqT+sX2dbpnRPhX9RoPqjrbjfM1vDlH052Uxf6Vp85If/Vzl74aX0d+/oKizKHsFJ5bO1iuQjG
uXbrmUQXyJ/Fh7rUjbM1aN8sze1vCPuQl2b9Jyu22N0xcr52o93jS1DnQUp1aPL65T9j63/JvOiI
pavqfx9bn97L9q9za/HzS/6YW1u/2QyFXZsZomVRUMNY+B+WX9zAzIx14FagWj99dn9YfmGG/eFW
XCy+TLa5hZjO4n/8t9yKuCb/OqYG6esjflCyBciPAdA/08nqsPMgTyrnVCyrODVarkA0EGxqXCpa
TXYYwIwZygFgJpOcSoV+Q5bLhleDQkQGUDzkYIC14tiymTdMIGbFmrf3wl4QVjYHm+RnjZxxgeKN
p3FbNENhjZdOz5KYA7RBDCewWs2h1Yoga+GcB6tuPwD7XzsrccNAELgkeuq429zy/WlLwwo75Dw9
aN48C6KCmDSC2helXgMDMtJ5Z5CI088lzBob6Vnn7I/OkrT7vPb6+i7F5AOrPvTf2nw246Bp636R
CoZUnpyyiZfuIP9Vg4ha8SMmZ94oPzdwEbouGWST/PJmGaLdZnXpvNUg/daaX41fErJkd7PduWSD
J4xsTdww0BsM1LDKjBGyukqTu4zWkEMKR+ALCmj9arRkf1YcwvyPyvc+cjVdPJQb7rNZMR34n/Bm
wLxzizVa3+PTFpsuNf1ALQcA4DY+K0Vakq/WEXw4IERDsrKkCxuj6isIkYyGcP8Iso0oCsUddPv2
WcVFeGBwNe7m2Z2uLIHTUWPdQYxOoOIx99eSfZynyTeeB/uaUrtkbobK0G7jovR2i2y9byslzmPY
lY/x7ELu8/rqrpotN0ASiCtONZ1xY9kcMbQqR0ZwamLklRX15F/zKijwcxwGyDinnLjXsE56q98I
o+w3BOFBNGmh2pqjOe9zK0U+mDCBf0EOlVtkV21HL9V8oGdm/tALwz3ErZAPTETCC6CY6lxpeMR3
TEmnW9XPDtvhVg1WZ3Aq/eOvHZahIb7RbEPKPkh+mtjr3y3tso3G8liE7ZhXa/en691otHtPEx5x
KFgc7ThvCCYJ/eM/K+q/tKKSBPi/FtT/osqvKv9qB//8kt8X1M+ghAXtkMgNnqLPVfOPBVVgFWfF
+8lQ90lK/LKDu9jB+SrPMz+9Pn/OUFCVaTCd4Nsxk4Z2/u/4gIxPm8+f/OBEiGz+XIsNSUdj/BvF
vajJzanMGSk0khDhHObcHQWnK8/GuXNC0PKAuHLX7uZ+h2MHwvwLXDPyT1kpi/YRmbObG/hKJs1Q
eQNebEzx0IGE9R4Yi3EGZYqJCCf6QI4MBLYWIOKCcLU/YWYZR424Ln0AxXAgbV20A5lMcpCdvCnz
KS1xZiT4Wn1Plmcb2OERd/WgH7h7TTeTFYaPqVlLQG7Oq9ZWw26sBncpWqMMzU7lOS2IdxWpwh5n
25nxGDsJrrokxr+48ouREJ5HVGQzghMYcfvNuLed3FH3M2H5d10ajDyoGR1ugFsDETDiDmtiw3ib
M5vJ9XFXqiHfqaHJvbXtV8nBKaLavfh+N6RBO+k4YzWNgKQjp47RS8bAX1twyHFhZXsZNuM2nRuX
M6RW8o2J33IVL4YQT4odIkGNk7gfqbIcdlXHTCRuWyyj2EuAb7TRNDMKLxrOl/XwSq/M9BzOlesE
TVRznlIVhQ+Eu21eKMH83niFL15TjSbyXWs4zcYS2bBxIlmLVSua80i/2wJ6g9uHVYyxS5Ix/3Ew
JD776aTO+CX8Fv+FVXfbuG0A7w086vgvMIFcmStsDLyQxc7s8jBwKlvBD0IVpF0kTTWM7uC+VuDP
m2qt98zEoZcUe2o2kBOiofe2xjiORFwYtsOsHKLtZHQ6b3QkuRcIhpc/3DDR32cKFLaZzadxu7is
N3SGTO8FiR9j6zeFvesrJR8E++OJq2T+WgFyXIX6wLhYalFHWyKZnrXRuLcU3TTrHuFjcWjR7kVU
T/DQCCUGPDQ5wxdGuZvYbfxbZdegtMIGLZXEIZYy7lbslkVGp58JmsyOe1zRqVYdGK8ah66A4+bY
bviFT0NDAj0V/tewGLi1Tm03ZLuoq43HME/6w9gU7hY8CK44vwzbBxLFH/poa+th4uYB2pzxGp+A
5MCkwcTvQmbQDyLOW+fCya1jFtve25Iu2A1t7IQruyU4tGZHi1YtRllz3Yb1I+y85lJ7+vw174pw
TYvV9IzHo9iHMw7dQNN07A7Ml9g+pdbeTpUqL7VNARxHgZQ93hgSFJs289YiDqsnJ2JiNWp+eQDu
FL10ONBJd3dhfp9ZzGPbGewYzrxdVwH3bNzQwsdrZfrVjus+mIB5+tuqtAxg0nYoQjxcMBl6u5O3
TRH6W0SA/HspsulA8KFiJA2EZVCTvyrD7iPVE2tN4dYY2BB59kvHHMgW4x2p/wX91Ubui3y19gfD
bbI14V5+j7CN61j2zt3Ygmrix1Jy1E/Nf0JS/1JICqCs8X+mpO6+oytMOdyh5C974+9f+Pvm6Fq/
0XLlCXcJCy1OWO4uf2SldLqiifUsZSYO+UPxa3O0jN/4V8i+XDGg2pM0/HX78H9zhb1cAojlwFH2
rH9rd/y8Xfxpd7RIGFjmElQ0iEwhfePi/bNJlsx7OxdSn/a2W2K46Rc9Eo17JEVAOai/4TwPMw4Z
pim2Y+fU/grttDlYXsUNeq4bNsMY3o2Pf6LLbfCXNnPmFvveuvE/iImHt6PjQNRncrO2sBcIaM8e
5L5Ca1uyDlRQz3gkgZeZrdA2LuInMBFOd6i/FJPtNGFUz007NccpreOLwDy8cRF2n0JDMzlrQx7a
ND7q5CYGNvhA+lmVe73GW7LGbeS+U7aMdSWDRpiuKtKkI240P6OpRbFexOU+cefkuyZE9DFSjndD
GNx9tacK6wOOI+scFznud+G2rNfkpQju9nZkbOj7se8gx+cnrgDpLdOt7mbgY7gTYTqjEIRAPatu
UBtC1mAR3QixiHUmCpRiI9QaB95BUfiKgQGGxCG3zSev4W0WGpBoRgmxfixRLzZEpq29YSwdgj7v
vJVY4jhC3rujMdMBjTAXV33OK/A3XnMbh56F80LPyqPtGjJIvTkMshFDKpcyHYasV9yUrsCsMLkO
E3km13PK2UR/Ea7bnfvKem1BFD+ItuWa4TUhmEBqDiKgYVSf7YDFmM8qz4xt2pverpBRCk5hDkO8
0Vmynkw9Cwqgbze2PbT3KMFeunGc0D6aoBJADBC/sQpx7w538AfLNQGRGhlHv7OYHkKcqgzzgoWz
f4MAEj01haluyYug7RTOhlZXmpHRq6Grsf4Cds6PQBjCsy/T8mrrnXWDgv+SjEsPbqVnEOT6aVvi
NnzAHVdvyB4V+1GHE12JLsiyNL0P+1q/7bXWXYfKGoF6VLuMXu4NF+MxiJlHrjlucMXzhwoMG/DE
be8U2Q9/HD+AXGhb7HchppAuF/c85GxKStUH9iiUXITpjfDscc0cFIhgaV8rnjZkd8wgOoSUwsP8
ocXt6wz5doWNSNvGhClXNsD1PSQO6pp6MFSiB3HIpq69WhDVDjKP63s7xyw+WbZ/dL0W/48WT5tG
wAnLIYRczKHmueGxHVeUQBo7CT121ZeAIVL4lVkA6MjecOJW9+jlNs7nBAjTzrGKKRJPjDpUssWU
MDLPtwV+IICLqG+xxxlN5Y4MJmjCPfpxZo8PNrsZ7my7zmLxDA83Sje6nSYnBx/7tfPiMH5R1owe
Dy84N7elXxH9gzM28fMHivK8yXjxEYkp5krBjQYNPOHl0FZp9ivTgTI9jJXBMS2v8CqsVKrPFoif
SmuGhyFJrPEBkkHP+SSKtNS8ZKY+pG+QsJq5XKNElpw5YxsAAlZqH3NMi9lvzWMWRW+U0DOiTmOR
8PvRqoLHc6wmmiIRaiOE1ETx8r0RjvY6T0vP28A177Joj0/MeltigN2Hm/kic954j3wc8vmC90Ad
NxnMlWHWmfwFEusBSC+aJrYh6tIfy6ynaEmvTcNhSNYYIR8soTb/ub/+a/dX+/8UBP+L6pm/SYLA
YYm2vLfd//9/muf/RqbW0R2f+kwmdX/KM/ts34Kd2GF3pDDJ9tkefyVZbL6EXgyfXdoyXS7RfyiE
JnwAPuI+5UI/d/1/Z4+2vb8FWfhuOn0JbND4vmAS/HWPRnAxOID21sHOPXi9Ns0JTdkNuzmM1TGP
antPwo5iomocp2+AsN2znVkw5TyBL7eqekZwrdTeczeH5kay+TLTQPjocASOuLs55ZrBjXuJ8ave
T3iuHgtm/gziiU8UkSO+VDKkZTR1CUEYDqbOtv7K0pzuleYxRErSUYHF6iV6kMy0IAkj3JQh9r0H
NL/sCLoGh6Br5rvebKFLdeVNZRtJ4OchtJO0iI9iaEGrJgXdqYXmmHw2IvdISSqIZhalW+w++U7m
nn+e2mhIcRAr46q03ocCnuk3Ykr0m4keSObtlVlvDZc7oKiM6FX4ic+ekt0Jpvc3oSEekamqtXBg
MJU1FEFSt9L8gakZfFMxkWQRQ2kETdF0kPSFhf+HwgY6kSA9Ndxpdnauy28jt+mt2VCzjZeKK3Jf
ZU+1lToM1ZDLdrJQ6d5vO8parRFGpTuJoBNG/1J5SQgMKEZVrZL5AzPE9LrsqdcI/PcenGqDUy9V
V86l1NEyot1Cx+xPQOfqr4XZqzUcQHcrh3zYuSLjZUQ4f62szPdDibOszqz+m+abK+bFU2D68kSt
2cEKNbXpaYmndrhi08VvXGSyOGiedoDblK3B5pCyHZp6V9eD/SMCnwXirEtAy1rjjm5lpEqKru5o
G5q5h2ppdoxht+BRndP+JK0pfY5wlb+5tUOdCOXJECxJm0pwEY9+aCU3s+7oN0zZwPERTU1ews5q
z2mv5w9WZckdRCED7x1V7ntb5W66ynLTvM6Tm9xEkTVvJ9fFu0321r0nVyK4cnYc7ZIWOz/sdv0O
G7V7rKLOCYN0tvKPnq6PS+g4+R5YuXlyOpK7hXRg9Xlu8lpTw33B42Jf4R7NexVPsPm0wTwZo71U
e1bRLSW+7WM6Lxpv0eaHQusPkhk4zvTS9i5GLY230hfOTR1Z2YE+cblniovTC+t1vh2t2L7N5Xgy
4tHicaybvcacso+j7j3ugQJB4M3ExpCh+w7n+btdq+IQTRL68FTYh6oOra3rSfxRbmk8m1b2MbEd
R4EWWcab65WP1WDOzwTVJohtpX6tYge7n4qpoLUhF3PVhjx0wTNui2Ck6fUdzHR650ZZDZzHNP0P
YDzxrhz4omhO8idMXAUGbQ2xAan7lEb8EkfTROjpIcR69Bg/uGbbfTU9f2hWXSYeu6o8cNd0jhWg
qBIHUDA7LvmWJE+zKx6//N4O873DAePohHN5gNEET0j22apnsXzrKp9MFpW1W4iV9RpkiVqF+Lnu
JXPY7zMEyMDMUiJIMZB5wHzZKy0P6sktJeNbo6gCfqEu6Z44w8MFhe5Oa9R2zB0MByTZ08D3t3aX
FjvkY/0G+hORk/w6wCF51ULGyRn9OtdUpzy6ZLzTBvmIK6zUh+bD7Cb+JJa+HnXlYnyEHkW4pteQ
SUzvtXOnWtLFMOcJLo4lODBP0S2RrmynqY46i2my3aAZlLOwkEaiOfTp9eXcIvZVfe8xOh+eonli
PJ5nPlA1VCyWuTbJuQE0+gmdinNdGVK/LbTX1Mgab5lnmhv8xkSCnZqoeVM6Qa4lL+S19UOuQztD
AWLgkmbV15wuY1zYsX+1YQYe2tZWHEQjrbsmnZatXRfHIUrlu5O6apciyt7p7RI7kvBgL4NX6YEX
FjMRBy93NgyZ/GefXeMyU4zwApMgORNv+eLPnbNnR5wD4kKY6SIr4VEa03ObcsXCuuqfi95q7ro0
rG9SfazBtiU5aN5CbirRRsBrYH7OHOs2dlubL9lYGHsMw+YG93G1jVVqfMcx0N+Mti/fLSxsbC79
bL1yCUueOkMM+Yp8ur81Uz/awSElaTJFZABEGN8JQZAYnOtyrK3Vg97z1pexPa+nqZObVhneyVtY
VWuVV/Gt6aYjDxrSma9ZNkR8vZ93mOf7XZmo7pD5s3zKe0ooBBfLbArJKAymtZEDnZFEBnTuTb1W
cv6N1Napq+Eihsg4+iLKvpA1zdaj4XirQbDdJnzETxTSyT0XekWUr278N7JxybooR/01DyFssDJh
8+uM9WQ49t3cp9qHtFwsIxRSbcEmt7ciKfODbWn0QltRe83xMDxFoxduhV7rD/GQwN4cXCjHE3jt
rYm0d2mm+msJzPBDn3uW/77pZi6dyop2yhzFeqa7iJu8drKZZIOyLJtEUfdbjXaBU7jsaTEoskS/
Ljofe3+aRo/cpDA2pz3E8KA0/e5aR3W+r2I+0islXdIRc9tA33RDr/7hg9c+DDm5J3rRtHMCvRv6
eXE3DGW27+z+zW5sgBhYwWNs62P/Nes4Uifxux72P9x8fqOQ7R5rESrePEp+Xl0cGuCKm6ZOHrkQ
y6OMXfdxkJnxnKVj+YFWol6akC8cSkfjUU8mFOmjjHgV/VHWbT10O7RvaPg3HLWg7gEizXR7kxhV
Z8FWTeKzggIFjhC/6F3d1ZNDeiL80VOJ6qGujvziCMgbYEjAvgRhpZP95NSzg9FU3SSy1qo3yQLK
2csfEB+4+NfZFBVHT8sarrupseaQl51ENJVH3Dfumz3Z9RfdDaP0LlRxfnJjWzSPADbjcJfPGUb9
QDHsotgk6uz0G7ikVnuy6xCTsoiHEPqxBmj+UC8htPIzjuZX5XZw2heiLARaVZSvdVR64A7Wi9KM
ce8k0iWl2PUX/p9q61PFTB42PiaNde6RscjqaeQtMvD+z0B2tT1nkadyjvNN7BjukR1Ee4i1JKKh
IycbU4rpgupcXxp+m8e5Q1eNk/F96Vw/Nv6iA1lavxOlIt1DMeGKRLDRr5DCmlOSHLJwS3XvtOaG
3e1pabGCrPaSXQshiJGjRaQubtdprUWH2Yo6whphSO7ASI44TM+OyHP480KeIXmAjI/c+ktvOnkA
JnTaJfWQ4OJt/Q2tF8jgSV7h47YkJv44YyMLccTY/Jr3PUMQgC1GsSP6rP+w+pBjtMwkAWJmMqb4
BtXK8V6Qf0q3/egtt87sp7Dm3twFSZ0nxX9Ibv8ayc2Ev8a15n+3dTwnTZT8k9T6+xf9IbXavxnQ
2kzHgCGwKK1co/6QWs3fYBRYXNV+3uLMP2Gp/N+wCFkArnSgfcYCbPvHNc75je/GicldOkUNrBn/
zjXOFQul6S9S6zIgdV2+JX8KXf9nqRUGTlWxY4m9R98P8v1QeQFQYZswxFRTzgECtAy/TKVnowF6
UfykY9wPLN2sTkkc9RezcngqG4KmTGAEj7XLRh5PEW1ETpk/4gspkY2odcFS8gh1WFEK1dfvOva2
Bjgob/BT22jls9E5UKMom2LKZWjNN4Zx1YlgmH+2JmW/Y+PIZxyNWO9NiTFtRWTbf+6oD/yeKVc9
ZWZVqO8+2DpuhEmLk4Qp06YpWgKTKj3paSa9ncP69DjCpu5SGkN669KzgYs1SBPtkS0XkXdm8Ldh
RBJhTiEX1RaAXNauYaqLaBSZsCz2vgCB8owTkyWPt4V24L1QY3ROJbPWPnPYOriZV3QgjKO9FbUO
M6HNvlqQRU4RxU4r25uttd1Y2WuTtpBORMhIjz7NICel+WwY6XQPykpwTWr7ZFfJQt4RU9bdnQpj
68CVRXvDEEPsHnXviQ6teIEO5dYKJl7tPlOZOHRYXpXmb+ZmRq0Cmq7X29CP8iRwZ0wPt0DV53qr
0YP42CxdDr0kS80MdpRvVgRChbZN8ajgH/MuZ4L3gt1UPPqZTQJiMkbxGCUd638ul6hYZy6coqbq
xKU1TWNJ+bUwEUxZYov3cFvj4ozJVwKarctsO3I1PQny02bw+bc5UhziNEkBZ1X3wEaDKS74Gtuc
MvcsSyXfDPpQ4O8xTHtOLdDXoPgcGOaDtah3cTSLdaRs/5mQL5Q/GnL9Z47IqJ+NN1SA9BtAaIaw
eRkF4sFudCuOVarzzYMZd/a7VOBId1a3qAaNaueTj5OJ11mI6mREIpsDipd5Qe7yppCys9JTl81s
T5iA+AOMoibShpbOu8sUWb7lYwHbOwq5uqztqTFTeLJubgGarRzjQu3AGG7bLtSjQycHZtoRybtv
IE7RKLKZf7bU8m1jbmn5jiNOVweVVg7tsHJI8TBbWCo4OHwvL96bu3ReDgy8g824cMzm2jUPllNY
B6Vifi1z28k3NHstsDTJiwh7Q7/zksE5f/5E2kmovR6QNw6U8PBs1oPB+5uOUfg8EuvxAnQG0BrW
SLHnroGd+46lqPUCi1Kek6M38q02oGisaljG+wjqlnWNUtpAM7OOq0NiJk27CZ3eNIPaSPj+kZnz
sqalbCcmLfiCu3TSnj//lFx9+2ifT3Q+BYDh+MPa0uEpAw4pLtQgk3/OsxYEY+uMC82xGOr5oRvx
eW7hbfIrNUil857QatleusmvTj40odPUVPyzPyVAi3DGErDT6DXfZRUzBNwIdbKjfJUVysXqtLcK
XUzbBM74D7JqPJGpw7AdsPmStYxszSt2VT/ALHJFofoglpkKlJt147rzjRnmnjPe66On7oZ0km8m
TxqxMzBBHs8ptYcr3/LlufP6AFs6Ba+2odWkoQxOBH1Rkgiemta9OBy+Tqk/+c/8MsnfLXOy+xRy
Ps1qTSvf8JK32GlTQz0MPMW7lPzidmaQF+hDZF/7pGs/Us0UeE4RA59zP1cPnqMVgWs0PNhGMza8
GN6As6NzEgpKEuQmN0K7pJ4SlDnQPJ8+0IC3jPyRAjcFK8B3P2q5CE8CDj8FYiEhMU7qmXWIotQ6
AEPj/Z2489PN6rKC0Bs28AOL8RafmbUBu2VEG60zx5VRh5jCi4bSQ1OBSqlyL8Ztx45xLfG03udD
hRAwZDmaj5vFxhNGXXcLWHr6brmFeQybLtlDoRbfctudn72oV+4W02B6rgmLfDdrNXIpsKeDLLDk
QVkj4p9oTw0wtOcYBuO6rDMSI7nPqY7WIAoKlJbDuoLIkRNP2epeMW3KSJ+/JxMiWGDi7ToxOEEF
GlIXykgxh+bblKVEVMYQIwNirDj0c5PdFKDw1vYIEh+sM+YyVMcZ1XM5ijpN8d22/djaUIrElVFN
9XTEEu5d8lG7F4VmKGYVgm6fzBtacc7xLtfX2TLjw6CDzBgctQXmMKyh5MibsYcJkWl9eFcODasJ
TdZlosn+Htc5zuURY0Xnt7A7cM2YZ5lxm3oK4Us/U/XRPNCucBfbQ30/GXhxxqgV96EQ7kPpEgzK
e9V5tzX1ckwhc4nNPdZf0VYUlVXe4xwZzkvfLm1Dior5HZVllHDwe0NxIuG7fPDHPd2oBek+466l
YnHlkHq1N4QA6WSqYPXh2+v0K8SKinwlFRh52uCGSbGIEujruIYjf5D1ZVgzfgmlKmifsuh23upF
3xdUkeZ5z+XaoijBRJfxlN49GkCF3hKKwVu2QpMJWooJotA1eRgck6d6NNMviu39NOZ9f+kM/cvC
xb+RXERJaIxKOoGL3+HcOnO6HnDnPkzcwE+TSsWVUsbux2Cp5svkR1X9rjowhNfEAT95YrKTHaij
IlpTN6+g7cJrHAtQN0DcUS0ENuuO+WnOgHZwHXp1WlO7bZrOgSdoEuuf3OI79ZfqXM8JkQUIzVfq
Q4Y3L3HCNZQx586Xvo1jcaSlKCvjol4hx8uLi1X1Rg9BDq0ZCmpXK6O90LV6uluK3F0NlqOOWP/L
L0kPHtyu5FPYS/2Y6c0zJczDhpCevW5T/b/ZO4/tuJGs6z4RagGIgIlpIj29kyhNsChDeO/x9N8G
1dU/mVKTf/W4B63VVSUSiUQgzL3n7PPFMINDPMTNuUZSyuMwoHnnnZuIcfcbg5yNMDyjoBJcCdJM
Lzqn3nMobnE1mAQ06gZgH6coR3k+hC11RWeRCYdSpGtyFkgdJKjk0pYMFZ1DbDa4xd5Mjc8+1otV
kNpw+c1CYlJtFycWEn6j7BkHZik3IQUrVgoFGSCQKONyzBLGVkmhjyuM0+LGDaR97WJPvytqiYG6
znvKeeSiesk8bjWn7S+IcEPx1AUPtl5Bm69R7RuE8XE6hN6v2iy7A2vTExLE9mNr5ka0Bvoek9u0
MItwVVB+wYcYXmdjLbZ08qZ7HSnw2dQI/TP9PiYoOygumIH6fTQiIl6TX3cjWp0ImJyQlXVLb+RM
ZHN1G1oZjp4pb4YNnTrqQeFQGMdOxt0NAAt9Xfv2wW1j97xIgulBb1IfdFDWfQq78BFiAFIgy3DZ
UIx98NBD2MCrPwJsqBpxtCnr70cdCINUobu1O5vn0NbxQBBZplMSc53Orrcw2C3ehIzAxhJpFRlO
HatjGsIuqZyMLsYg3U+4jLVVX471nR8XzrYZKz/esBwOexea4bpKATHgj1zpYw1WE1YM3Yc4RCcB
uOuskBOgST2clnxAiV/GNEdBgLcaLxygVi7BPFb/I646+9lNw2ETJbY170PVpt+RT1d7VSsfFSNb
K7SNCJT7qVrBr6WymmaxvcGEWuIo7oGfdC6VuNIw1/6Utt7UVwAgHcc8S+Ksv5wbtxQPrG/JRUs0
Qdh7qBmyaxoHwmsSq7iFwRLYt3ixxexZGnFyfRuzLcgHCZDT1IMttj48nL3OXjCxjeQqYJEN+nQ8
x9jYbCBYqRHpuIthhG3AhUnjm5l3EsEjDltoA7MgMwL6/JcAxcrt7A/QrCF/UXLppnOrsazLKg+R
VGPv1dZgdrqjKNL2bDSqaedS5Ls2rLa5D4cM91h1VrrzuK6UWV2RzdyAWHR0lF5VTWvK8nd14H5i
ozZsnaZe904tb+J+oith9UmCumPMghS3zjwY24h4UfTeklhOECQ53q/MtOfbjuS1b2OSpVS8lEkA
fQnAjfQabK258OfzBK4XUBzQFteamuYrLQSIizs+srpvGFDuS5KBEmdVo9P2zR3KGaEdyHPfVaFw
bgsj/VyKdAzP8rRy/HOR60+oGcuL0WIjF7mMhUMy4DlbzfGUbDA8hvjDTInuI8r4fzWVIozw1wWe
ma1FRbpGwQm/4vMcAt6SonYD5zowy+qa1Q8FICvosH91kv8DSnnpX74+GCu40Lbk0I4jQ+ecfoJS
Ttgs+XZDuIw1LUcnK4I1h3IgZef+/oWWX/TbhRBNsSJg7KMIy39/RQR0azbzVcqFcNRjLC9dWBpt
XrFX4zGQfxq5HLOCYmQ/OjPhfvmnV3d1OiXouuRi+rAWI8irq5faZDjk7NBoikvz3h4GGllVNLGV
SOs9cGSuarfwfj1tyNjBv39xg/72yb278BZ1UPYGSqXf7n2ILc0v/LrYo9fnt/dD0MkLJ0GvmcfU
6Mnktbn5Xk7FWQujiFJgnXcL4CNw0j1Ge+P+/Q90Ynuhay4sDFMGvheJLPv0WQTgmyYz4DDj1LU8
kNWjzqn/mvf0/pofqjai3fvXs+jHn3wBUtCUN2nV65L94dJlf/X1Exw0UVpsij2Z14pgLs5rDavx
UwJ+NFybRfcdIZuUl0HvduJQ1zaMEQ9RWphdQJRJWe6YzTd2lcv6CguNcUmzeiYYGIfRpz5s1aZP
CkaSpLnOXj2zcWMHulBUcRCQ35m2hsS6GpN6H3UdZwvAHk+F1Q/tXWMowIhzS7ceX7dtC/l15hCZ
YO4bOaUHZNxxwAs4gCYsE/eZI8ovgHebH8wT+bM79/mdUDgQV221oBtsUy+/6Jkcx/OAA7G2LJg6
p2pD829mFFbNFjx23ezcoKj3E3+xvpIFKYq7OjRsQlMMt/jyUgDJ7Mq4fHkI/4OtfgBb5cBBXfE/
Vze9pzR6Jk/vrZT010/9bbPAS2EAe0J0YpovWpR/lzcNU/6FlUInTV7HDGrgSPtbpYKSVDccFymp
XJTiL0D+v1UqJuVNfiGAwl8mjH/mYzuZX/QlDWNhJ9iOAPDP+vH29aKPR3hw142X+SB4FwYim1CS
xwvr1xn6GzR40zEeaf9sdD1p6QTL/gEOH12nRuX/cke+yUN5Dec33obAWMunYZI1MTJBmUWWsnza
Vy87NOQyUWHX07HPjcsg4aVcddSFsGr3NKGZ/mT3xUEWTikqcyn9VHHNnOfPjSPx9Tr5D9W2+hW/
I4Q5kKbGw0xRwtgxhfg/jQn11vbV877+tQi9/sTmySL48oltZMLQnSwH7BqGwzefOCJD01ZTeylG
1N3s1Of0gROSK7Z0n2nK9NNoxGv8eC5rk02G15ToYpf1NTSnui/aH7SHGsPjcMqJo42oxzGtUZhy
agt+BbWv8DrpiEAmia9ZO7quPjVhdZakOHY3EfLMCwxzffbBpPv7Y3A4LDg8CErrqPWXm371GAjv
CMh1TpvLl2JhEVC0R7OyKPvYvI/XKIfUXekb6eP7X+bJVE/fx6GduixzjEX+WD7Wq8ta+hhIjGT5
Ze7OxqWRhN1l3oBWcP3w0/tXOtlRvFwJ/ZfOpsWmNLPIu19fqcSjgQg6LC7dUpdPFei0dIehE4N1
UoYbveooGHKmcQsvFtaQfTRolkHxakPD5RkoLGVyidRgdji5PM0GOgNLtPjSmHrK4o7ljEicdGfN
WQMUAnPOpPPod0NavYiECudnm6rmMKhJno+2qHXKLjEx1DFQ4QdRlya4epCHP0utL9c6pkXHsxQE
3T2tEhhc7397pykTy+d3lmlDIKRDxiqZJF9/fTqK1NyyfA0unA9ko24b4C1a0tJbR5aVB8chjJJv
gUsxb5yrcGuTPhV5SAGc5xa0Pd7EMMCbWsT9z6gWzo/eoi18fP9DSuu3h4y8j0GEPpC5lbdzaey8
Gk6gdSId/oy4wB9U+sqlBok0fXxxfLR913nEmuk3fTZh+SYXFyWIkWNDqstduhhHkrTKbsvUwk3i
pEPweQB1ecAvA+EG+80Dge7u2q9yn5iJxZVCrCeaV5+OxeWw2FaqxcASgIWDGf3iazH7MNtbeIBu
zTi4pp2M5jTtnOoSt+R9++KOsRejjBFNJnOD7OYZrKcbn6eLqQa3lDyGi9Fm5qSrvEEPiVtj0EWo
whZXzrAYdIzFqoMX/zungvaO0gc+HoBvDgx3zhMcQ8z7KjSGZOc7Gu4fxBj+N/XiCYogYwOSxChE
GZwsuyIvD0al0h9RX9q894u5CLbTyOFvsRzVi/mIRnhJ7JyprqqBSHkJ72NrvPiVOPdTYmOz6lZe
v1iaskZgbioVcnd6u2vDKNo9S40JhWsxRLmtkz6CtQrPzFqVdxbRqbtOxZqJ/yabn1wAJRvEaPG8
7WE+bDUE/0/mYsFqXtxY84szK39xaY2LYUss1q0pWFxc9WLoIusj2+cYt+B+L34vnF49IJoXH5jj
D4B/XtxhAGt8T7x4xmrcY4FcfGSDwFIWvbjLYkYSVNoX19konPHcJuky9W+6oaJighF4SWX/QWXO
NOcvzaCNDimXqmYqL76bUwZep6Z2wj5Sv4TxmyUjKarVvOsVauNDVi8NgJhK+p3uaOIQT4LSescz
8FekpWA7IMPXdde577MeElcyIJGHnq17ddoa/lVY6bZT7JPJGcL1NKaqPbebVjCiBmClzeB1rIVb
Wwtj/wpZjLBBSiJaY8CJpMm2eRrVagXFhNCpzUiMNpECQOQJrvOxtHlF49NjAm5Bd2ZAkkrkh8+u
YIskI6OOMlvMmLmJmtHLQo6iq76h7nHdRBpntSKI3Get6x3AE3phtrtIUqe45GQT+MdcQKG0cDSM
TTVP+wajXw0HIwiBS/rAPipsdE0ewfW1s2mvN01WepZJUqXnoBlIdzWHMc1bTo+ftTKj1yWEzbmI
/+naFTneWsNXnuefY5wb2QEwSptukrC1b+euhfeGSc404IyHkNbwKWCm3Pl1D06LxVgcieAzk21X
8gkgXabBjBB+nFGL0b4YLjIXqf5G41Wp1xSIQSIJy6K65wt8NA7lGAyLDv4RIKmxmH8SMKOQ5/EB
4OqBAqkOBv4xukLkvXpmklRiHRWRv547n9ocBf1SXUNqiqUnoopjRFbGRIoRcSO3RukHADZD5ZQb
Ywrn4hBGBuz0RC0w4uXvrRYZLdh0qKGVNw4R6cTtGGlfa4IlJ41o7QSyvTGT0UJLiE6huJ/Swewu
7VIhts0JYLwg0IslCUJbwg8o0p5BJUehkX8hsjsPj9WUcbpqBmuOzow2aO8lVdMna6Qkh4SZwbvt
8pGGCEVjunYZloJsnQoYgx72mk1kRBWtwIGdRYzP5q6x7OFbWYdi3zt01yh4LM3U3PX5PVZaxOM2
Xw5vhKQLedO0lnFvtERhr+Bj0m5rjclB+mdmcbSvR9NEmOwEjXkVaY769KsznscxbUwHFHRzPU60
MxH2L1bbcMj5YAUle+OMFUx9QlnA6M6YJes1eJ4RE2WjfPM6rrskuTXdXNE8lPHQXbQjHoOVjxz1
2ko0DmEF2rjhUBQzHb/RzNp5B9puufnlow/MT3wuElAvQfpyF12FonIV0qCbPZX0vDpliu7pJq8d
Xvm6Y1cQ8N+YU802D68qQ05QSkQZ6jxuIk+6i0wLOT+ilKrIs9cdXQDPJ6WAp87L5HFHTCCkeS/7
5DbPPvnEQhxdnBhQD8k9ZlxMgf005LDsVmNNW120o96cBWxzYxzWeRLfuawWuybXjctKBdUXqZso
piGLR+axcAPVnfmknfTrqXaqgQ3uRDSCydeKxqeavidpYl2P3VIiqvSpTz4POJGbfeaTET7NBN5t
GtQ4HOJtbNoouqawgYiXqc+a7mfbbCgDirmSaW6qh/A2KtrmjPD0mBaSWZsB055FqbwPTfWJ5lUf
bFIzX9q9mi/UQeaFUf3MmJCnIz4/3o1hmbE31FP4RskG7zcsMhQRjbqjEYVrqu1ZaUUP67qu4q+1
6tW9NrFNP86qrY0fbUPy7yqjD9QfosHkV42ZEc6Q+QMbnw+PBU0jyaLbuej79mKcHFKve2KgXKeh
b0r65n4egIp6iW40M8r4pCgucpvugNaSLL0Jqzzrz4JpKEPPtZosvGcnQjFCIaCmdxDR4E7CZsB0
PvQw5nNS4+8wERjRo1EgC6SVzQ5seihbgbAhrJAQI4KFgXfU/HL4hslYw2/kgF46REo3bhCl+XSs
u6qBdj4v3vHIbGNxDetyti4zu6RSWpW9bl9II5QjZPt4aDZDWPLUBkqxNBVmmIoAqBog/qMYqbGm
plsDtUBnsUrkSFt8gnwEAQ6zffV5sCbjPg4x1fI6ROoTYz0jdEPhrd12ZqnirUtDB9dQ98Wki+Ia
BDn1zoNl5pjgBxxu8oKsQbe/rfxG1SzujGjIvotQg4MDZvAIxw/BV3UZimtz1FObYmuhuK9x1IKL
pNbKYZ01cICQLhPkcJHiZOAYSbjDtgndJFyDGtYPUyV57yfbdpAS+KFz8bIr/V8l5YNKCqUKDjn/
uZKy/pk+DU/1z9fBNb9+5v/JxHQATAL9FRBG4vs4c/xLJuZYfzmcR6yXGgplFo6Vf5t9FNk0/AsC
/4jNJLmb4uHfZRQiDyXGHB1goUlRWRf/RCWGu/ftkY66KGqgxcdqELKIF+mkDpDEfRhjLav2kz2F
j4ARFsR0KfCNjkQiIYKos3ZbVtN1Wpjz4FHW9MhdpDXs6yXw5ygHOCdm49GPOvaMOUEcHu/p8HNs
7SW5OIzRemNeSYP2Onc1jeUh/Sq12iW9MCq3eaCa3ST0YEOPGXYNX2K0BxFt3cUw2M9H1O5ENlhI
PV2gW3uH6YFYZCLej7aB8bIrfGKkHPLQ2xBUL9uU+mysCFewM4GNY7TiHVwZlmpR2+UB761/wNTX
3uYqkEfsQl9jp9IeozTT7gPoPitZjTn7dxQNUBhJ73Kb8moeG+BxY3PTu/D5tISbBNELg9i8keaU
bJXiFZwsobEfyNudHiTPJc4TnL+KdBFCEtqNVQJZMKu23FYzVwd6c2MLwgkip71oi0pgwTVvIsNF
Rddd4PfExzfmdwPhpefjQIwejeietvOw/JGdF1N2Lt3y0c8g4s9GOxIUFnxVNox6tBmrxdCSTMnX
ylrMS0VxN8ba/CVJab2XAuhe4pbdtmNZ8yIEOQzB+1H4JIRwmiGhfPkI1cq2+NWqGsXOmR39SiSa
toW3QEJWo9JPxdTJT0ydOdZYmI/4XsWWlRAnYgs8KtSz52Yur6kezgQ2awQETdVTIY36vlT0N8OI
5RwGXsp0bJbXFIT2kMVZ2a22uiJsun6UiXtvN1GBFIGgRoMN+TkWR2czo9Taq8p2NxBCHiBMaRU2
k+EhkD6RsxlGNI/NU3ZjKh9kpg6T1nMqXdy05AdeovcLDZTy4eiiyq3mDcKdO7HYIkUN5IKCvLht
0hZwgusT9ShC1lbenFUc9dFCY+u9Phsrtasr9I2HoDSMVRBNhIUbFqinRWx5aRpjd4ZFtO22Q61Z
D2wBojPCCvSvYC4ReJAkCeg4hoZJK68otgamZ7ig46QDwiZb71DglYCsErfTs5Zbs4Yruij850k5
w0Vq1oSKB5BVNykKbAgxaYChIjbu/jfR///YOh2ck+9N9F6R5z+/t9H3rn091//6sb/neoMJnU2I
jW6U6uNrSbAj/nKYz1H9Oq7Ee70sA3+z3qiZIyE2Ibb8bd/8e7KX+l9MyqwQnL8IFXD/YVKtPCn6
Ql9AM08FT7JztKA9nEz2HD8xnxK1sS/yYFHHRijt5xz8f9s+TnbyzcXYvCoLpizKpUCoY8gB5P0k
7EST0tNb997t3eSopW1yMXbpee9KOj2aTdm7RpWm40B2Yoo8TBCgTHAkbSHj6mv8EwCk3UptS6Vh
xbQ7Bf/WvCkJbF7DAkKtgfxzY1TOSLYL16TU0nsxmYOsNRXQx6R57FOF+iuCqVoWpmdb8TdbK/U1
/DhonCgVPVBF9aHs60eDrqo3W71YxRQONpnvfAIJcBsL41uPXISfLR/Tgv5I0JKhWTgcyG3zxgjh
Ipk592OXY7vR6+rRNuIF+cr5etC4vZyDGS495tFec2jYuQfm+5azPl9NT+0haDPUdnHybCYaRFCi
3VaFWzdrveKXpj1fgSThk1vga9DdQxY1zZojO+oznc/QlxL3l29y6g9NAsdo6iN/xFJhV5CS+0Te
DG4Hg5SfjBFsrSJFqNtsoqgLJr6CMhWsM60x3wRFeqMAiWzShkty9LfOLMkaQ5/E3HQVHwiZdbLW
5+AhaSjOgLvGMFbkz1Necd6BlexZ/oSpKKFfulJp8N1PNYPvQd0rHXfhy5zfEKsGd4m6FgdSJlS9
x8gaq+bed/2EqF38kaWWzttyZtUeXL49wQ6e7bBzcA3t/mWQRBWZbBPsv3XpMA44ed9kvRstGvV7
ttGwxBP+yHTrpo/4UEGMJhHvIKnkcUcmV0AuhKNaE9jOMopa/i6Ir8uoMSDWFA1ZY8vmw/Zt6k+c
elbQsEqPncUl4/l5VAl+JKhgq3SIvgnp8Oxn/in28dX3hpavh9Zt4G4V/MxCzqCL7a5Np5wv9KpR
Xt3Ujy/POwtcJEMpw6oduN8gZMg4S7xTUaEXR86cHnUjeOYlZ1Tj7uAAy+h00TtC9eenYABND2nI
P9pu/E2A/iDCWGGvKpPosuPrcqRzP1Hy2QwV7wn0Qf+ILHS+CDEpesppHpFSkp3r8ITdjsHk8ja+
fBl5yUsxaPzVMsm+ZQQlb3xOt0c4wxYyTwYtqlv/OGEvvc2auPRMSGMr1Jg9lcSy3BIOBxQlKfQ1
kk6+Ur3nMwQhkslGG3cBDZhzUfkRJ/TZ3CQOLyXmUWwFcY77pmCUEddJASdPLljm9TUEQ33ZD1LE
QnWxQbb/jN4uuulD6/Ll9RLxPO/RnpmbUQIA6wo2FEWHVhR9YLOWoUqOKBbz3YiradNDf1xTCiq8
l2erZdy+5ufn+ACWKYQhkJfk6gnOfd7LKJ+dZN4WZa126N6SDSUgtYXMlYLcZwvzMgCWEc4rfhPR
Ut+JiWlM9bzfclYzsYE8urYbiMOqGUa4zdsNSSH+E6IZbW+F3OpMTcPLO0Pb+0owexFlh5WLR2Ak
zzhiBWZZ3h5d422G8aA8tGn+Ua+7/Jzy4nhpAaN3h/ibxq6CLS2bXwKZlrWeN6KbdW0fWLynBdSu
84n62RbZIdlamcjPtUZx9ZzpC148aAImB+pjHB/lToVkneBo5ZcZA/TpRiCIbHWxprTbrCrQOoeB
3I6l5ueuQRjrpE5bYqOlAZNiYDC5DTw6KDFqh8D8JhTK3c1GPu04rROBI3s4M0ChPL/nIwwd8Za8
IsU+c5nBMicVv+YmU43m5uWlpTrb4y5mtw3y99qqGRK1JW/MaYny9mFmWjRLWXYIdZuqsaSIDuoz
KVJUo5XOccCW42XnwEWRFl/NxBvw8l2DO0rIt+FXouJRW5lTA5cjIWqaazEFLpZLJ9X8axTtFFiL
Kt25fvVcOfzrrIs3vPTIcCLmE6ml0dao6++urlmbXKMXUGC9yArqHIkWXmtDd+lAj4M/7gbHKRrR
RmuoQMEaU3HfmMkAYiQfNWAmczp/TawU5C9uH2lvFFh0bTUTW/nNjItxjdUTK06km/cWuV/rxmWj
f0HpuTtGg84jFDpF5pUfoJHdxDrwrrCIWvIZpU08OnY0zPl1MwLGm5J24YlQbN5goC0Nz0aDdiz9
7klri+IHQe7fZYRWHeHlmDy7ldBm+hYwjRqP6X/Yt3ldbClPjapEi0XsXxnXvPOx7LV1wFK0psvv
XygkvtoWXv/QXNJQdR2gZbLJ9u00t9rjFEgyishlT8/9UAm46HUKDJZskyq6tHrbnDYB8b3abQ7a
5xg69v2rrdgfutknHbNlXyNtLKRUN4Dpqpdo1lcdM3R/5iyLmoyDaCImbw6fo4TFRZDi1dVo4K2W
t05GjPT3r3sqKnq5rsS7jb5Jd4R+sp+iqWlOqi27vTG8THa8gyJKfuSDBn60TJ7fv9pJm/nXXdK/
hA5iKDiTJ1cjAAgs+5x3eCkYIMtOQCWgEQKs+L/u63/Vng+qPQv3hFLLfy73bOlmRz+eXp8A/vUz
/zoCuPpf/AoE/ShjJBv+1wA25y8OBTbSHDrQKPIWgsvf9R4DOinBP0rwAXST0fzveg9aG4vTBDA3
umAv5LZ/Uu85fVGULSya93BdqIVAHT8RpQWUCuGYEwZimh2eUugANMekGeLF6+CNrRyrzs8Jvo7A
74esCa++qz+8picDmMbHcswx+H5cFJhsr942tqsqmFVPaNlu6Mx+40ywtozITMFPRNn+v7gUKFZq
USg9mRTeXgp3Vm8YpLrsqDtE5DOR/ES2VrlB01D9F3fFV6nEAsnjDLdMEq8mn9kYEzJqJXbvcYyw
u8/Vum6RZLej0x3ev6tFn/BKf/HyBQruSSJmNNEzntwVWqIuSS2+QBX5iIqwFYB0sZ/H3l4HuQ8n
tqAMtQSwe8hDCu/9izMG/3BxtkLLKKaBenKfLR4gX5Rtu9MKaQOrGcNNbhAG8/5Vfh8jFuBc03FZ
FE2SgE6u0gSuaPrK73a1knbN2MyJ+bLGyuk38WL8+eCmThRDfKPWolLT8ZqZDJOXE/Orh2fhiyN7
qO12nKLwPiT1T0eYz2gVMwos2ZntI/R+/wZ//xrB74LA48iPcu63gqsfsr1xRdEtYAxAmzRweFiq
2Lx/leVrejtSuAoKBuU6OrshsXzNr+4LZ7mRJ6jTdyLqp5XQtHOWiavJMDnC6pn1wT396Vt8fbWT
h4Y2LqgCK+12bj8YK78g7beHxlbizeWYo9gPJMm3929wofD/docuUkNLUD9nQJ5MZVOY2Bhxee2M
0JZISiVRivoS1FnMGO2LgOpwBf5vcr2KkPAfZMq4x9ISe/KOC+xTqt90IxTTenDK7+OIxH2yJbRJ
v63u5npaQXoMPCOp5g8mJuMPz1/o0qFKRDIKXublv796Mm7D0aloeY2ioSP8WRL5AXNltPqNpglq
wo0BQtcthrXg2yNkbZRf9dkZ2dq6GITQPXpBGagrOo/BB++C9cePxvy8vOEW/zv5aLFK0YVYaYvW
KNyYfmitEektUc52u4HC3zxg6yM2frBBNRbwIo5jTpwRAosexOXiXekB5iOyjFfVRCi2oNu/9nNy
VHIzmM6Czqwv8Sdoh5l98hpABtAqx6KAzMnrU0erHxOT63sK1YBXk3SxxXW8UO9rF4PNeGyTuqES
g0us9S0F/so6C2XyQMuNLakkomwSc7Kt6StwqGuvCM2b9xXAzdUkOYmMfuqfY2RZXD5VvyOuXqPA
Oz0nk7htXWLqFNyifWuH7RW/Od++P1p/f0FcPPgCJS0ZELABTgbr2HB6s4bloTfhpZYQ4RO5+gH8
3303++UGA5zxj19JrkgfGY05+E3mm7fDTNVj76o5aXe17x+MRm6AMn9XuTyvBaoY+r2P79/h7/M2
3HNmGxCzWA5Q/r+9XkM6eM6zaXfxlJagjhfKJQFWG9esp/X7l/p9mLpA69CVo5DTUcWcDNOgo7Mx
IEHdKbe3zgqtMg7FQAjaf3EVfAJsU1CI8B2+vaGMNKwMFzLLnV3rNYYqpe1RpbjX71/G+H0e425A
47nsFsnCOvUJJChcDLukDTaORrFG8ESsKR6ftd1gBZV+Ax5AMPA5fqBecz8jINgVRPF8NC0Jbuft
goFnGMy8BZFzCcc8eX5VVcg56h0M83DRKDapdIuEp93KoY0Wt/gsD5BVFCFpxc+0GJxbQpwJl7KI
+c7mWRyRivkfPIEFgPz7Z0JUSmcS54Z1uuMIpKZpfiiaXR50+UGviZnTySWZgbJd+lC+vNDB2pCi
YfHSigSIjjBiz+ZMvVYupi0nT3+m4EovE3ck/Wz4CuqI4OWoLe+mnAzJso2svRWEwzGf0kvIaR9t
Lv58A+ADcHLTyKWP+3YM+Uatsskd+FLD6TaonXLbDTJ4CJnFvLJy4jVuTJ18DLtlxaqzI4qoJzdy
7pvaVoeOkG9vxFS8QTijbjBLF/eunH/OADSOAvTCFqHJRJ021lgr2nSLoqz8YEkwlsf+27B4dQcn
b8HQ4ikOiokmLbb6oz+r/NhaYw4LlvyRqGaSBzW6imP9IAoqh00Jm+79F0T8cRRw2qVR7WImOn3d
3Ym5BKlrs4M/uyQfYn7/xrbq2pFNjrNb/1Gk/fjZMY3wO6LrtusDL4bmCg83pDQbNFsTF84aLxYZ
jojNMMKaXemFXHBHgzgmPjUwfk65YTBVOgDoko2lx0gtNfUZXki9x5Snn2uWke7noniiVH1nT1wo
kC8RDKqxPvjOf9+6uTanQbr8NpRQTktvBw1dfyfxqaXvqjj9nPs7p4/TtTaD26P6Jz7YJ/5h2rbZ
A3PylA6/WD85URDHSwQOk86uDPJnUot9Vm2qyBKx4AdXWn7TyUjiSovfAPeVA+Tm7W1VftCVjm8x
kurgPjFE8Bk+CCCSbOI0YU0Juh3d1tyjbxvhB0PoD6svxAMg5gKnyNJre3tpon0r04/1Ztc50xfk
8tejU93CKH5OnfYbR177gwXqZe/5271aJjU9kwM3Qo23F1S91oxRxJDlGJ7jx2TfM5HeO+WoJ0Q/
/0Qmdl9E6bgOppLNjaTG2zdBDb5z/uDW/ziYcDuysgi8KafLMj7x3sKJ1uywabdrvXQQOaDzXWlR
EXhWGD+//7L+YWkGbEvrkxgVa7FZvr1xW8VJkHUjD5k4tx1dct+bOzf84Iz4x+/XoJLBSOLrlado
o7gxAsKiy2bHGbn23H4MwZXGim4PoNEByTapt4R3akAFAHEF5K1Ax0McrJ3NM2jp9+/51FXAGRLD
kwm9w2LnjGPq5Gm3QY+iIddrqBMy/FY69P7powTtVUMWKwJ3u7Btr+j4BSsN/gBbWruCXa/H0ORW
5MWECX2aaSDkXlDyNdu2M0hstpof73/OP7zqiwlS6vZS/fntBSxpCJGRCwYdHG59A7HY3hbTQiSp
Wwpe/66JXf8a6K/NRb+XKVwb16dJmQK7l3U6gw1TZwFTS3g8PbVpLBMo1er5YuqnwAsyQ/MWhsEu
dFpzVSSd/sFE84f7pJ1mk4CAuddAdPV2DIaaG01Wblc7e/TrbSdRTMqmUhtODdE/vxTtfkmqqEPB
j1Hw9lKktDYAIpxq15If/yzF5NzM0BxqWn36R4/vD5MYj4+yCFtErCun50Yi2QJSfHl8gDCCNVlc
5R3xOOaG1Q2/xZhJ8Ibh9MH08YfvUi0eP0nV2ZC43N7eYBDoOeYTq9qhyaUXa40DAObMXNe62Xxw
KWX9YaFnp6ED8sLZRKvz5D1yE1l0QJ94cLIGbGVPIBVJF5LDvEZwnKeeXTfm2mZPnnqV6Adty8mx
Gzfz6IgMxK7FUMK4OquDT5LGJxN4cbiuQYh0a1ShwMwwrIRPMCe1i0S4eGCDMKWB0wCJQNTFLQmU
AAVOBdVbuOsHzF7TmaWFahehE5432JKIdQhg0N/bnYliP5WjRT4ByCB7AwI5NB/VYETZTzumWBKs
Sk4w4dkY1sIHh5bU4UOTFsZ0SHOqazuE75ncaHppHLMZqeeuIbq6ubQyeiQkEHeTf2M3CNa3/LM2
oCqum4QutlQJIcuoroML18kXgKQlinjbWVV612s03o91rhV7YzHZk1Zdm0AJwuhT1uDzRaOKd+kA
rTGgB90VEJYmYoyDTVbi/ziPe46T6CNUORBr1AwEV6D+ncZ10eOlOAME4OvUHbLSXJeZtWyuIsB4
Tw6S3QkMZzt6s0sX5q60kK8TstTE0zUgHQKYI1m3m0mrlHOrF5kbbDoygboDm9hxW7mjiujZBbh1
IPvPs9c0sSL/gSVqk/pL+U/XTCAVVWO5D3FYpd6YZgXgBxkCFonL0qLh2N1Q5912vVV+9kszfUw1
V79tcxtnE4FVew1c0EZU6qpLl6SGZjvSP7/1HYqoMsR+gJ9gZ8oESL9Ksm3Q9UfRTwMt8eYpTmzI
qx0Q/S6GfYGd4IcU2rDpkVXzGWpnZzeDvlEysneSYGgUBXJexUgMzxoQkN+cFh2w7Ca6tU7/NFe2
te/Fkug0womK0k/YbDc28ORrS2X1xtDz6BrWzuzBRDXO3CwNLzAFARZ28Go1kf9pnIW1szQDyAi+
RjT8/sFXMvHGOOnYVCCCS1mj1k3jzDdJOh6qVrYrUp4t/kiuEqpL4yDrYzKO5nrWE3Lp2zpdxaHf
45yFyjwIgnl5stfke9wi1B83xuCGWzqXkHiXuFzfBP0ys3W99YO0/ErjmezF0EHL0ZI0Abanfra1
Kve0/2PvTHYjV65u/S6e84B9M/AkyWyVUkqpXhOiqlRiz2AbQfLp70f5+N5jXPyN5wYMw3BVqclk
kjv2WutbA5E+n4X1HheiQycpnmZoPNPR0jPz2M8ePr5JnnDN7TKnMeiimt8qIgFvdRYfPMd+zMb5
jVhGvVV6wKJujN8qV0s6PoGVf5SjB3xUa4mdONpTEfjxqY+tLILe4uMusDXehxboWk4jQ8q54Zp1
mrxvk86/9iO4YmX152GOPSC1K1BZq3/3rWoOvgWEKusrUleVL7/sfhiJRylaHqJCZsMyk5pra8LH
GybNjrwHVY7DUyF8OHsmF89rhWN3iryWcwSPcm4SeTKqdwygxV2ruMryGRuHXxhHfUxmMjiDwDu5
+Df8D7hJfCDABZnO3J/9GQZI/z6nHYwG6HyxrYpoIeb3rhnWTs+TtUOYzEKz9zRT/Jo8+qIOVlGa
Y1T5nSc3syCpfdYo2gRz7vldsiln6Wgn1rM6MBPREjnpeKUAbddltPiVfErZ6t+Dy6FUq6qL7Khy
us0csl53hjL9Hc4xtVBhyzIuzXr9p6vHzJPsdxuadPTypuHR92vo/cRFnE/IoCoHStU09e6jLYv4
K2C5P4KGdvGvf3u/ltmHdCj96qtrgErC5uuND8I3XcQRzbkEtdm8kwZSEeGXeT8wLz35UK3fZc/X
mbWS5MpgtqdFcJ7Opto+klztX9nCrW5cGCmYVkeuBHwL7VtKpg/UmV3siklr3zy4dYe8i4cSWtlQ
7DIc/6+OIByEaVbRiBo71RCNS8+HozQ1h/gDLpjEBeeYM+4dCcFAumaFvOVUGnSghAxa2KqGNOxm
ALD20sZqjV05+HopF171YaHbeFLg91gw3tNyvQY1dYKBnz7qVUqFj9eNBAd5ObUX1HV+RW9Nld8k
5sKP6hbyhXbRUd0mcZxcMh8wvdAxJAkcWGcbPtMa5sj2tp65j3IwnWXDeNfCEkrTCxmI5oPVnbll
ceZcko6P6rYW1bJbxgl2o5hoOSbdnlzKspFeCADSufAhavlQ8e6yhG9PRRXYFw/70s9OJt2DvXTG
U5/xemd5ASCewMreT3lRNdrzbjQuzYfG6ZqfznrChDOxUJ9ctHmG0cPJDs4EptvVCGUbnd2eGqx2
50X2zc9hbro3mfK6Lp7X/hJGgrF7GVNeVoIm8SlhG4FFewDaoXrnYi+tpkCbBsllojSV1nuXPrpP
cms2/qHGVBbdSJYy4vls8FhuIhXkAO4xI7aYaVMaEf1xjPHCCN14aozZoXpVxM+NmyZ3rjOKDzfB
t0aPArXXJnlYYyN9RjtnxP+SDH57mjsdpBchwZsVFnyAyTo9+1rOfTGJMxq8+deNriWXEeMyNTG+
w/xfExa42FZbHrtiTZ0NAUuciI7A+JRWA38BP81KZFflEOVLg3dj4XPOGqvuX0G/z1++J/tPL7Gd
MAaXdDSooecqH6lnQ3MxncesSuWLLYbRC5Xghywdvbj6Q9f8sPLUfdSCBUJ/U6v0MrtVDZ3Lrru3
sl2me9/txxe9mYprtr7dJqz0s4PR6drakm9UaPOOsuM14aYBNrd7XjUfhOG9nmjzl76IbK9NpMQw
3PvxlVibfWz1FF+WpfiKYimuDNLTc6CjyCyK+N4J9FCfbrWKxnavYc0XxiPleBv2LX23Aa2t6tDV
BB5MO18qUJqaG1/tlAPGphn7dj5WUrqgt0aupEVrO269rs2Vxj0rvZRFLoywMhZxr1k5S1w4SrzX
eu+n8uhawq/DoB++BLkEgAd6lYdtpdovyk2MFzshdiNVb/zGyEnmmo9e+8DdYvkSZt50oWvWc4Hn
0Rl/E/tZHN4zoguwOHlZXJ7k/V5XhdFtvpGri1lq12AAlJJ5rvw9NX77MMQ1i//WbO4GCVMSmGv7
YAx+cold2JVDgNsLwwpxWprZiQ35fL5rihdfW2z7+kOn+T33eFGsPQ4kI7+YqL1bzsTxrhnjjpsY
VCn2poM1Ighb/gcIreEupkZrL8tSHuwVJdry2DxbuPtoFvSS7N61+2YHY6B/7hpJkg8fzZAI/q++
aZoolo310wkSZ2c3hGYb0D2RaU1kCKTl7g1erw2Kph3Ri8TnkODyDP6wm+4ZQtRmbeN8McvEplRA
PA6BfQtAHn+grmecZbouUsSm71r2P/qYylNeNR3ftnAvuiJ3SKaW+4YF3nPSM+12wvp7gfcWP7qx
KY7BlMGKG7JqASWP2NiSnjk62XCS81xGGZ/NWz1R3Rm0UI2HsKZo3bQYAQPkP1aoPwKHSGvh1dO1
ENL6lPRBtplucEuDwLFYfbutXQPT32DfTFNuvzJv63AOJvEzUKvOJCjxZLMMB1l4qGUpA6nMxfzq
Qw++6tQ177ypObiibKNAgTPfZBhtfbX8YP9XvRcVGQueObxIpmYn3Og54YTePNtpmBdFfyw03drI
WAMPUtl44shX3qTG2ERMqOoe47S+t/K8fxxbzeVWFyTXseebjE7s3Y/E8DYsplckYWz/CLLAfSFc
XR6yzHuZcr3asy5NmQMZ5TbVmmcQmUpvM5/FDXShY0x65meqx2onfU3fDzjoIj8brUhJPox9k9Jg
WbAqTObZvWG4sF9z29nXziTAOubcgEXO6TRxCU4ElEx+yWI0X6fGBvxaBQuuhcp+aqhiCCdm2J3D
veuGLubyxXA872GWvEuO7Kd25zEXbrqhgyxC48rvBanJDJtkyO7anMuAvoIkI+9T0+HT0EO2sau8
DyecbITBSbIvxFlGz2Wgt5P8Bw2seElVfRgoKsk3jq2RqaEKZ9HN14Hg946P4o6AHk5WNDYGMm+8
q2wnfib6yJhhS0Dyno5R3h+yq693C95Dy7/pZ/I0sZ5uU6csNoXVOZeqcYQIUxVQQ1iXy3Gehbx1
HY3HTgWnnw+cW9MZMOUEvq0Ub3tOKh/zXM2xtNRyPkZoaPI2iIf8rYJGvqfhseaRMwmeWEvDomHM
tOk+iK32DEsbEy9Phozyk47inIDCmqvjEXTKvekQA4+Wfl/clrzLN30NO6C3RYk4CvgRV99wZu87
b9w+Pxggpt8CNFPOOT86Ua/ReGcJW3pmV25HijtZDsYbYeTuKEzvp7G4vyF9tR9MrOVH2YObyHu6
A7yS3L4lx2Q7eGP1MLtMLOXcGYjewbCEyQRIgXFoOpB/ltlJs4SyI+npvXfwCoPUVm274qKpZE2i
z564sFTBX2kC8RbIACU3IQH++aOqqOUzW796oIWBQsNs5gaap2r4LHtT/1kDkPxsY33B4qzxBVtc
ACeny8Uj9j1fvXVMPLxvwNh2BDlLnhIa2OSygfa7BFCqeVqyuVtKWpVY+vNHIs7MJ+ZjTqZFldqn
pJj6T1i7wye0K5YI/TxWX4W9IiH7ZYg/9D43fhbfCVJ4itN9307xB6UrHMLtOKPLslli6FpOo1W4
0GVA0qlw6seynbgx9OmkxM5L4Hvu7ECx0RinlMsjNcfVIF1DXUjdkdw9ENP4wzEc/k0A+rqLvByw
d2TXOpdRbc3gOGXPT0mSGLtUVOPS8jjETHzTPLPr/iZbnIFzo15LIw1Vo7IEPp/BV140qkSOtmL5
GaV2MGt7bV5HgAGFFMzRVAXnPNXtOnLpURyhnVN0DTuER11YTmP8ITuZEl0aszVtkDjVlzmOfNex
tWAJKdsKPv7xYjqSMvcNFH4DP3Ov40zzjIUSE84TYg/gLgmtFnpJyC6Ilx66Rf3o4B+r9yWY9JfV
WZBxwCwmyqANtkAXs3UmYzc4JCDmbhCPjsJRwVuI3hqquOX3KzyHfUjX6EV+0+NikPtqxvhxi/Fb
fkmXzexmNGG83LqakT4VszQp4ILJQE2y91B4QUvMofH1J2zm/XyYWMPHF3vklz6YUudnZCrnp87q
mDfPnadaQ/8TTgk7JOOzy+4/nSP2MryKUhv4+0tt9p8Zp5dsww+7NpDJ/ncG7qPcB2MHBmAMCJAR
zs8orS5pd2Te5e1cDjX7v5OCq0TzlhiY6JzUbvKj7nYsUTq0FXz0beZ0fNRtDtw8hHl+hdWor5Xc
BHWq0FwgQF1SaemwqRghSyqhBrzTZvps5FSRt6XQT2jS3UFVI0kNWG94fYvsZVlS9axMDMDfS+T/
eFD/Bw8qEqfPQv3/7tujH8OPP0st7n5Uv//+t1tRDz9qVvL/KBY+fv79b3/+mz89qIZu/8EEgxEa
cCjGxHXR+mfk2DDcP4gjE0NDWcQaabJj/WcMLcCDqvNHeJkZ09zVXNiLcUj//jfb/gOXhUOdBOqZ
43IZ/zseVDCIbI3/Io8h5OrQo/gP8ozp/3/yTbOIwuTgkl68pgkMLsYKWrdKTYc0gVvMBw/gf70b
C9I08Ims5jZhfg7LLEk/STewYvOSisZZX0/b6ZguLYVghD/dX0tnBtuqznx24aw0z6ItuvI1WzAp
in7RP3MrmYKNARp/ZFQ1vDmqNCmtPYcK8ewNg8daqg2kPE3w7dVtR1fhNh2KicWEWc6bgojcbYON
NwQfhSlx1s76ODdk8aHRhEZeL7SEzd2HxOi0Nc20PNpy0mf6q3xOEY4+wqSxEnvHrioljKNqJw1t
N81uIaOr4whTibPz2B2lqHAddlk9PchW25v5aEbCDF5VTSA3JXxHcWFCuTg1YEv+Ojk9AZbRaqIR
mEAaGFl3yBejo/6CA0jMDkOUOZWCHgMJUGysWBtTwJsnsBIXi7HhnedV1pfRuM/MzDlxzurve7JA
7o0iRfiLV2S+IUOTx90T4tlyHDq7B6LtdclUbFfGd2Mrd2r2nU/z+9bEVHcrcrvM7PLglTML/3rn
rtslOuIo+BqsQ55NtCBMkHsbtng3bCDqDqax0fPMn0A1FGOeUu+QAESRR6MqjEDelJzbMxyak4FV
mvytr3leEzUo2+/SMo1r3/NgLdtAmz6D2mvyrwBt5ou1NRuAOzykTmU8elVs7Nwh85iekKK9N/bc
I/UaVSDPDBnFya3HhheKQ3kazuWYHzM7qOkLK4sHwE+01q13bW566oK+IDd6luVclhPtiOD/2CqY
hnHyKUgDn6WzWcmygjqClDqtZroO7mhz1GFujbKgS2scK0Ny8gFI2VBvebVDM/fjA4R0clalNTvH
atK7HeGj/ocwm/KXObTs/YKid51N17KOGPzYL+lqyjvCfX1gnHoAT8xs4IFznhLGwa7Hj5QcxxAu
wnZg/eaZs6EFMflIOpsWuNwGVjI52h6qUh15fLvb0rUgY2Fpfqjp/dinqvDzC081D53SV+OmMPXi
xjQSoCnK7GXks9w5SqU7d9kQ5+ZmGkr7TJJtOdXxopOG1OcIt9sPfkY4GXpl7MaSxUqK1hGNtntG
wevf0qmIP9IOQwsLKTjb7G62eFeprTK85pkDxJ1Te87DemVfYoOwA8SEGjKqcbvA7SdQ3gyhbzXO
zs8a5A7bavQvdBb9IkARvsE1Xm661lZnQffAoadbmI2um+zzXMITy3pSNi3AElMhWDYuhEB8R86G
uIl59gvvZTH1S23lbQic3T1D73fOTdZqB45c6tVpBdXWeTGpM95I871CLkGkmRcBvarUrStZjpFq
hd760jw/rcKBV2NXLDkFUzCyUZPJEmYxwRRtnKncLqRrP0JfmNLQJHz4y/bn5MnJKa7mqN85P4eK
DUsd9D1fo6FT0+cYZFkNpu+R9YzSXcFiv63gPOVw5yX0IatO/MPkuDFHXVJeRBKnnJkoIavljRRv
GmArn6AnFGHJ6/PEYQthIRdX35zPgUq10Cni4ACPrSGib7XeyUeYCTYBGb3Pya3T+6D0s4OMRf1J
ji2ISp3ygU1TrbLGLOz1oGwcYze/DhWJWQJxE8ac2Xk0NApwNoaazUMwWnGohuXZ13MDAhjFJAQd
SQ7lJTx2mgGtD5KwalOloxZNyrCp1UPkfnd8FUSYTJerQEIKba9Tr6BmOPBauVgZ3kUPgGb6xblQ
bqVpDeTwlBYWDul/UaY47mzTejPrpbosRhZc5OQv93PtkMxfcRVm1zU3MdHhR8+gDyDs6Q1qd0L0
ybYXrf7Db8YusqdRXFmUCpjlKrXCNB+1jQ1W6mtaEv1Qy9p7t9ABoNtxaW0XbjlhOsySCBbGs6gW
3Pl9aAEbz5furdkulLY7mrWzE8N8Tlp6VX3lpCdBwd19Sw1bNBDE5JUN0pkai254dCggZG+FW5fR
fS7hLxh9RR8ueH3DkOYRL/M8YqOHKVRltHyAlmHENsXtlEMN16y2Oy+1UA+lp6HKFcFtK02HOXrO
0vhouVpxSyFAGxkmbKGyl+ZT3pfNrdf486OujB78hpsGVzuYhoP0h+kopjizNwK1IpRppl9gkhWv
VSDaVyKU3X09lvFLU8TZzTi1FEMof3lmAzyvHrcca5CctzE6Elagmv4jm98WBslAn/yR87PkPOyN
z7atU22aYf+KtMxhP+gQz2PNqN+3vZdYW8+PxYkMlj2EVaGQcPO5KsIM7PfWF7bF6zioN3vyYC3I
1N3PUyVZtbTxcjIyw/1l8vW1UMQIcckAHMnN9eB1Xpz+oNsLD3q/1sdy0yd9tqMf0iW+2TRPyJwI
LBpeooKKID+jFoj6B8pSaPFobNaa/xmO/zeUBoOuHzxH//VwvP8tKG77l+H4z3/z/wJaK+wmwIFv
QmW31262P4dj3/mDhmF0Ow8D/Brm4Y/+GdDCGPHnMGzpf+AGtsmU4t/HLmv+O7Owv/a9/XUWRg+A
BcEXYyK2sXa4qwPjL3GAwBSw4oRfHiw/eVdFOm2GngkCB91brbmPHa2IXG/tm18Zb+z7eIB6847g
52lYBVRW3ubRok362K/yag1H8xiskms3603krTLsIIOOQYiIkEgRacUq12qrcLuO6VftW8xdZV2r
RHRu/CzbxVpNi3PiXcH7+PdqyWDGDNVNrTLFV+Pat1TbbnvNpEJ0lZJRfMNWVpe5N6nmWOVm8OXH
bhWgnT52IuEpLzRmNT6ZWVCEySpZp6t4baNiq1XO7ofk1bWrbGOuUjfVFentsMrf+SqE66skbrg9
SuQqk7Pn3tro5iP6+bgK6fMqqVdo6/QxAVPAGAKEFOE9WyX4YhXjrVWWb8qW/dkq1XeraK9W+V7Z
SIgAcz6HHGnfXkV+PtH0unnjD5P16qphn1ijMCdlqPj5ahNYhjrZ8q5yYMFCUOElGPAUIEFe4tVk
MGrtdGgsBOvJE8Y1WM0Iw2pLwLS+qwL1ALGnuhZYws9Z6XfjJsfuCXt9LDlv0PCzNX3JEZwuo7cR
OeUBFyvYg14beM7X7IibRHaPraXFj6REnRu7mFn4aJVDS9fgthzJm+yuE6V6iwN2CaS4gpepsgqe
o2JE1RRIwqkMINgpcArwgv0HTymWAKXFlq00pXMYLL9597Kc9U3uyfKlLmoQErSK7HV6Xu7s+nsd
ZpS4RxK96c4oqX4E0Ix+nCwwRwMxBnGtN5saxFIcQ6kQen0CK8sKt/Vrr6W9mefwxhCAhHVk75sZ
N9DOVF7+4Zks36IpTqjPMzE7fFNFfSuutlOViUeKyI07y6WizF7XI+yC84+miVmXBIbHPoeiNWNX
5ZSQD6jw97MjgSjAOqw3Y2LDms963j9VdQcmZaynDtmoqFuL8lrdKl9mNOCf3UjRmgbBNA+TfuBV
7QR/J5XTPS+gFuLaADnHKdp4QkglATPwJTEUz2Ok18l8byZcms4IQOPg9JJfvp2T+eqBRqHhVuhI
DC41eb1w3CK0Zt6Hxi/5glCc0pailKyGhFjN0TRUzXvK52+fuZjPyAchB8VTRsuZlw7lS2PU2R3I
N7ZFUOv2Bse/3zS1TffxKJrL90+WE13zd3I0+PKlaXoPycI0xw7IcUMrTv0He1p1Y9oIvsp1i1k7
9fjU5zy3hQtGjuclv/i3ioOdb3j2poq/WDLkHx3JTSQiwzZv9aAnS6Ps/OP7SoPUxXdbyIKMG2Nm
mZ9NKtgy5IqLamCbb9hcYgBAfXxhl2lyol1NPkNlew/089pHUcTTldJF7NodK3szGT370Eje1HG0
6xMwi7W5ECjBjjK+4XPw0ow+beFefMOdb+gfM6+xnvtX1WrVNuWKpCQ4cOKPwEREVk6Vor3GE19I
+nxHj5qTXZmk2qNYiAQtLithSoYDmsuoV/h+typViccsmUF19kVcD6FBRCkUOa/c7NnO2Wh7Owbd
ARYN5wlfflR4HL1y4qpf+C8MUu8+401otiIL+3y56+v0Trbz/aj1T7JlkS0d8cHKYkOFwxwG/q05
jIheyX0qdbBpQ3qo8u7LUcFNQKXMZmBdXJvedeotVuvpfnCXl6Tr3cjRJ//s4n7BWeFsC1gDZjNT
o2XW4jrwHBs3pkXocJ1wrqwGn3sjN+7gNptRYfhJ5HqNFRoe0aCsmu+yKYjUlEc9g5RVe/E9zNLp
YkwmhziRYGVSvpvuXVGs1XvS3nL8RXHECnmQEpzG4BdtGmnAJ+tkCiF7/m4pcrppOand5MvYb2uz
Mo5k0H51xnCggPSBx2QZFnK0WNom8buWmG+95v+aR3KYSw3lt5TlgFWcQV6rrDniUIjGAk1Tho3r
isfRsm3mzXz5rKTDLhNz2mpB3TXD9FjnY3MKvAKVbEgpXVp4gzPX2E0tPVe5mgsCz8azO7PRZqN7
LKa5OkIStQ6Km3Ck+2OznWp6v/SAYudkoZBZiPdWZ3Mw1UI/w8X3TqxWVmsPrU+OjN91o6JVhVKv
0Zi/rLm5Npnv/c5MBGKooPqHh6IdGUXxNJD2+UGJtkVzlwSIarXQXUcamEBFDieAxna7kXT8RJMl
aUXJF4vNrq/bHOgjKGePbdV/0h8Yb/Xan+9wGioSzgk+JdoyTWbkeunG7SLN+iwM967knv/AZcUi
w42Ne4uC+K0yaZxjEazlh6IumojVDsWFhtn87h3wI0BgjnMlio3VND9GEIBR6/dBlBvyTY/hy+iC
p33Aop2U1PiL3PI7JUF7fW7jZ2U0BE+tQnIcQ9BkA6HddjZ1xkQDQ5ePIbJDnbxBJKaFpLeiAYft
GcZRsmVI8D9tz5FXDwHiuYCNxgwBKxG7nTuf1BAr5HqTuhJs3vlzTtflxu7t6ncPxe43YnJ5CrqK
/qakj/Euauh1rq12Rc+/TSpYs8ug33m0YT1Ak8aDn7ZMVtZq2m46/66RjfqoOUp9KDi0d+5AkNph
wtpQQrhE1JuSbq2GDGtFWjttGGNGCzYcqpOzxEfEFsaMDQ42/QIVK2jHnZ+0lc5HInkZ6G69uEbn
h4WFm4A3Uehh3CUaVS75eCaIYHPF1PA9ROs0a7WL4jHIAfNOwPM62ZhgtzHsXZBTbfwSEGS6Ir5S
MLf0bQ2eJqi1uyHxnSOTQrE3dNFuswkwOIg9QflaN33VMH0uRpUMz6rL1AF4ffvqtmtpIvfCCM0E
4cdTcFPsJgOFuxyLiikMi4V20gU3sIZj4EEQ4gibbsgxQs0xpjDD58cq8Qjb5U+vL/1N38XqUlBr
etvFdQc1hELB1iT7MKoiDpkZbicsq6S79pRHIhL5y3vedaKJqALD3anaDq5hYWyytC93la0PIa1v
9n4Ry+2UpQA+8HttzBHsoMOR9H4pmPEKKXqeXNK/zAorbMt25uADLny3huAOklj/W3n0ybfuPOyC
xk1YRMXNhvMvQFgA5tHYLXzESZyuBp8rT1BxqT32xE0wzpteV86L1Uz7SU1J1FvL40zr8t2UmYCx
fJ+Da23sXfSXsDS6rZAi+d1O894aeOTJVlBpmOXjdtKn6ZRJow/HvI+PAJ3OWdJe7dih5C/28+O8
uNNNnBPtwvejpYWxxfNwDQrursaNN4IOWkPwaWk0+6JSefJguXkL03DsVYLfTVHGuQk0LeGRkLQ6
UlCgJzMqGu0905E2XHc5O4wqtC8kVeFs5z6X0eQ3Jho4O/G83PDcHkVUcaw1OeDKdP6VFmAnbbZh
sTAPPA1fEZoeND2Qu6oOVj10VI8x1QhbY176uyRneZJLx75FdXtrFytj4+Fes0BoYb4MoC+x9EVl
4OSX1mucn/0k5jBnA/OT5e9wqypP22WG/N0lM041x5S3Pvv5CIqqfbInTj/oWv09Kqh5Ro1srwmj
ytaM8SPMmvcBByJmmzvmP9SQzFiFOpvNKDXulZa5myTXdSrf+zqUMpuA+/opj8qmJOxsZ3uKrJ4C
bZg2TmHfLBaDNprZp2fC3LTbqrujM44FmU1nkwm1bciC05wsyAO5sQ79CZuYn7qN4uwVTn5Wqu6Z
43v7YLkZztc8eNRJnOuw6ySboEIOxXFZYmgxy2LPZxtr6gN84uW17PTytk+rXxxAE/jzZjui8A2r
gFnHIsrq9FdbVTz1tbb69CQlNzDyhwFgeSZ3naF374wvLtqDxcKZbumQGehq0d57ga6V9BvDLK0T
+lAbeTONndNYqxd3VONN2wCSWkrpk8aeh/JS1K1HUbhvpT9xS+vAwlna7+BG8yjQgxWJx9GQvjlF
2+qnn+jcOKioNa4YcfxXkHnN+2JV9c8lxaGId8WyNW753sp111X9VK9eV2d1vcar/7Xnxgiffjlm
qze2WV2yYvXLZqtz1lg9tO63ndapU+hwea4EHgDBJZQwlOTf1tt6deGiXq2OXIiq3wZdpufVrzv9
w71rrU5eJFT5la7uXm/1+Xar43fC+lusHuB+dQNjOTkX3VhxzsIp7Fa6vE9W97C1+ohpLmC6Xb3F
zuoy7la/cb46j/nBnjn4xZEXpGKn5fiTy2+r8n+2Pv+rrY/93W7/X299jp8/UvFXQZRMjoHq+U9B
1ICvA/YG8A0g5m/98p87H7Dnf5iWRVWxSVHeX5A89n8jhxp/BAFZGDRWx1nbk/4tBDMI439dAZHP
B/rDj0XKGSIImP5/XQEh0rWj48XuHaK9dkziempvagxgWIvpI8CZt4HJjyJ6mvTALR+XrHGCnyBU
fqcEQh9tr7Cc0BDWk+sa02vhadkNQbUJ8d70cRM1tetXWKD6QETUY87DFQ0qYU+cKNU+63Ubaxsq
H0qruimCrN8zwef5nQcTiCNTW/o7/Jn1sYpn0jH52IbVbCQRhZJ2RKbd2RFjgROYB+NDAd632+S6
is8l4+K5H2nMmF3ZnsygU5+UL3zY1cBkF/Q6DQrC2+s0A350VaGHzDYujsz+h9XlBr8vxgjgxWaX
3ixzOh30Rtg7dGvtrs61GI+nJ3ep7htdHHaByUYEp/RoVHLngPDlpAOFkFbL1HylxWolGzURqIUm
7LNUv87k6q/D2NYR4bTX0smC58mZ5su0qqsNMus0+e5WotvGlqwe7FxrD/bYmXddVXXHkWVEqOdZ
dq5W0dZZ5dtAK38EQ8sRi4zd1sHye9NWIPNKocmffeHFx5lOvV1RG+XviraS7bIKwiuQpg39norE
wMx+j6tojGVreqMVVkH1zKgxb1dhua1K/8M0R3LJXp7y2ojXKqteW41vXbcN4a9USWKtEOsY/MQW
OAAlSo2HKu4pCuY3QOgcdN4sqB69ZSJti0mtOa5X5HMre3eH2Q+rEhuo4sAmo6Wj3vOgGQFUjepv
fVzH4DmToZpQAN3CSK52YRT39MUvl1ilepiuCntqmVSWgDJ0+C6WYEXm2Xs7L8kGVZqVPSq3L8/O
KsunDE+3ZsBh0k1jda+6ttvVfT/9Gny7rDcgsoZwLLTmC50rh1unbGNfebk6M6JlaFl1fx6+bQCT
q5LP9Nsb0GC6hONTJ5t5bLwbg22D2GSDp1NfMesbtJeFqtHa1OuwdSUtxD4+Z9DL4ASwIZnY94uW
ZwUk1shMUrmjnQHL/7cxQVRmcCOriuP80KyrfCa6bhew3qfdRLH+cptTv8z9c8JzsdpI8Hhf1NaL
re+XAUQ6JILO0T7dxSEtn6b00tIfg1Oz06jIQiWqQgvjPr3vyAwspIqN7LybZpUfaM1JWVA4+k8J
8W9nrupEseoUy7dk4a7qxUqa3nCMVm/UZln3WhF7xIj9eDeCUkzCehVAxLcW4q+yiE/zThPRZJFS
emsu9+RsxHZpeTK7LrF+OqbwQOBNu5Y4QfZ+qcYXogACTbAmXJjHBUpVkGQ3WoOn1KkCH60x4Fei
KQvOi0nXFzgDhWN/VXLA8uaMV/G8zVadR66Kj1StsUsdHSsZlFo8nXZ8m67KkOuiMsV+95RRSXIN
rPHQ1dZyUUwMoZi8kzPysWazbE7HLK4Y7pUr7skiauSTVh3KXyWpYhWnqlWmMlfBKlulK20t7R5V
h9D2LWrVYGKBorcQzjkyWFOj3zJ3coRGBUts9LB5Vca4eep3/cjbzZovDSk9s7gptEGUWEo/Lq3x
ya7dvWvstj6SjTT/D3tnthw3lmXZX6kPaMgwXODitrX1g88TJydFinyBUZSEGbiYh6/vBWZEZUR0
VVbmez7kGGKIQbnDz9ln77WPedN5q3g5vmFD5QTKH/K+Xs5yQayfDKkn4njcIB9ZsqafualhFBty
OkwJA7WcKsTvernvsYFEayt2073sRr2J6ZvHrjy35zjqxq8FlaG7Shfh2lvuhSaWMoRdHkRquSYG
+LlfndKMDtNyZzTGDF6HaCcDvcT1XvkQnA9CKeOnlVTGalzulUCPul9JYJR0u8Tltak8C2d3vmKI
Mt/DOQ+3lUWHt003CHCnxqjXmhDlqz2H7aXOs2uDKnqKaFdeO8u5FId3ez8vJ9RhOaaay1m14bhc
rdoumLci9Op9LtgkmVD9DU1k/aaTkfgZLsrOwK22WwoGUp6Z2SpIh2hd45a9RAY6SKnd4UV/HnqX
ky/wJ4U8WXqv5Mt5bzieJgnmk1GI0/GmWE7FNHVgU3Bj8ZYuh2R/OSlbQVHsZ7O03oc8FOisMxXq
PNLt5RDt9hRvkzYM3Mc4tkaCGzOcZpVdZ27YTA/mStX0y25Tc7lxF7arNjLuHwbMHy+UDRAz7/Jm
NS1X8SRrpmJlVOHwbIZedVLL6TyETO3zBOWgznMT/3RrXhoqs67z3N13YYx1PSNGRdglXbu89p6S
yc6XvNaKt8Ry97dIUsxhdFS+cU1Rj9mV6xJWqBOEaxKUPpXlXrcLfaqiSEjla9MPLnge031JrOO4
SKNIQjjuB437nzdUtOsWQ0HYwpK2WRAJoAX5JXRrHt9DMLxzwNV7gzKV89w38sOSWfa9brRx6zb1
Q+Pk7iOJz6/mJCAwqaBi8XEgY7fGvPc72W0rV/ZfaYTpThjd35PF9RAlhMGrFLh/zyJ66OaMBBk9
J80pZo/jsBOKK02K5f285KtwDbk9dJEH0gX2K1mQ4YLXuY8wfwb9ixXHxoGrsHvJdZycMC/tysWo
AQUB9UE8j8YgViYRym1M7zWmsT57Un6o9x3BnTvc29Z6bDRZuir46XMkWKPgRnv0LXYulIdDA+Pq
EgkxnPViJOlVw128oZFez1j5BU3nv0jdPkV5UcCqTuQjZ21311optxoCRysvcW56nqpbHVlvQcPa
AEiWLJYuLxmBf2IM42UKLPE1W8wu1WJ7oRmj3wPdUrt4McXUWLoA8sT1G1sKK6yiEbjscUXJIel2
mde8DRbPFbUYa0JW1XTZGjP8NkbncrWY4InJxYyj1LSSaZidx/ZMK6lAWyrz/lZkQCAAoWBRN2X2
NTG84pGhKj0X1WL2cRffT/xpASoXNxCELH1LhGOXLy4hf/ELEa8ijYxjYY/RKN+ZkR1eJNnXbY1r
7RCyNaLUYW66R9DCqicyZFcf28SUJC7Xt+GtgYO7Jvjm6j3r/XynuQLh0KitUznXxQ6Lx/jefRqd
aFljSPm0P6X0BxUrj/vHxi3n8aMAgf3mgZ8xF7dUHqpgwzfyK+/yapegU9DbWBg1HYimv86TFJby
XKeQkKs0T1aWSIsbPdrcY1I4vUOfV9GaIMYPYik29umZluTcwznrquV8kyZ3zL3rNjaz3YDneGcG
mk/QIaBvaTGB8SGsqbT0zUPgGOYvHz7Cql3cYl3LWaP02nBLRLxeMXpQDYizzCW46aAwTUg/QbOc
/myMu/xRv4FlCQ/2GARb+WlM4wyRclLrmjU3i2ZT/c29thjZqshcuOgdloZ4Nh+k5gNpxSUiIbfZ
Wh+jlhk9JiMPhN7OuP6k9i4oZnLoj/4YdAmUtt6Pyg8qXPAfrfIiU/mTHKM0FafA9eP03I6+Kp8G
fCswJtsfo2FMK1UwKa+Smviqw+nQkv26wI28IS+aUqFEUejGwBTWwuCZxp+aHOKPQfEdMiO43/ia
8o221mA32b0+IiSOVFr0gJpIZ8Wnrverm0rzq8vGK18d3nlOOtU7fkfC+woBo0Mi2sfg48pVqMfi
Rx2Y1k0Zj/4RMvnMO5hz/q3svKeZxOKq4ur1Q2Qas9csZ2w9rhq2XALqa72gwxOPRhkj1/mDOVCR
QjRsQoSNhu4gstZfngbThqkPG6ZghLGHJiedF6cHr87ElpiDfTaLhqCFWTMCELfZchAaN6435Q71
CPx+ZqpL6Hm9eAFPD2K+iTUCdWMZ9qoyM2rH+MldB6AE6zhrp9fBDe7CBMLfyszU+MgRLdz0SRgH
6xYW+M2kQ3udtPQH1E62NBpTMdRhrdf+nc+nMEdwbhtkMAi+rRpd5KcxT5Kn0M/oQWb0ZGdq+tup
mMPH3J2bnb/8sOm0SfaGatm+XDsHUhf0Q02+YOy3Xqfpl0qa6jEIcrOl7I9f2nFYO6ZNXVzbUJHJ
rqzquY5q65tFuO1bUYbPQS7Ni4AqT19nAcDcsTX5xEKhCHW9eZYq148EPXHxBIEu5A25BvFQRNW7
nHFcrvQ8hnBqIpOWRgLg8TqeQ0HEjHjBXZpN2UticsbykyHY+7aC1D11lo1jsW+/IuAMP3pi0mtN
4Adnf6hxWoXFLqkRjzZjXcyo+a2Lpl8RlWsr+EAbcIfD95mpD3a/AR29LsfpvpJLwVahsvhah0TL
zGrmkkgg0N42vmFtbQltgkt6jA15Ti6gduJj7lBDQPSFBXb0eDGZxvfML+evsLsDfIWWxz8cR6Fy
a7rp9JLyqLB55Q/mGjfjfGdMJVcG2F/71u6zK2WrcKxnXlf1zKnFqkwoXHaKFM/kS4OPol8+CSyS
YiBx2D+XQdZy64vrMFwTFFwCIDN+hakaqFRtgHdU38p28PM7K00ah5y2xzKGs4zpHQU98tdd5CF3
k4ry5h8Gt5rh3lJch7yIU1xc9Mb00hajHp/mweDwuzJaFt72vjMbR9Iv0UlbalD39Tic+ZHUPqnx
sKJMx2mskjvN/8pF30SCc+ItfbD7wJDVU5bl4/MfTD//BYHGWsgrf7SY+yaYXBckIVMZ6o77F3CJ
rsYhyRxruAV76m4MZdPYZNNOPebUznJKD9/s3Nn3iX1yUndniHrnRtbWl8GN7mb8fTSg9MZezQmZ
5Xj/j7+5v0BVzM/vzYNyCwcLhOFfMZu51VeFGdjDrdb1rdTMisEh7m//9d8ERxH8HfRcU/71B0CJ
0MjS2w+3sQ1UlH95RrYrZLn7/G3+ndL4H1IaFussr7l/IElmWVyA2/izKvn5Rb870eQXzto2xGkX
dwrq49+daMr64mK/8hfyoYILuVDEf49p2PwlPB+0CHmSb2JRE/koW2IajvdlYYvCIVIeBC7T+5es
aUB6//wegk8MiRxnGp64BW2lFt3yD9a02IuRb6wmOo0V7hquo9TC46X0zrqSSD0UxAvAJhw3dFqR
J1/4Smhjve9yU21YIA+1lYMw9MvMO82zFMGWoMM8rFrTHB+42Odib2HgNh5SldQvFWk/d03GOKTT
IFhc2j0Ocybl3K9WWcC2supyc8acBUrrohI6g1fNUM/H2ZpbsSqSEnttRsqBchDY1GtnKEGCNIHm
guMb1XeVTPLj06jR+ooc6YyJfEUtZNusJ9+13Y2F0GRflN3ipFW5dzMIjDd531ELZhs72YCsWzHI
0Z5BL1j8qJNkehgjs72tQzu/Lq6jYivH0sBL6o+huypcM2TbS/Q1czUenZBCUD6Rp0MIQPdk6xrz
deTvOSJi/6XdoaSTGG+O3URkGNuB9pvN6JJEFeRSXjLFSS526uyRjARtEpF4C4mN37nlpDacO5z7
zk6W6MgkNpFl30fe3GwgbcitgdmdMgIju3ekkd06xXB1TWZaN8tgKuhRRh+kqPVeAA9fo2ClZyvP
iU17Y3Xtax7qFBLF4Q1jp7gdooJePWaQ7mIO28ouy9tA1/mvpPcUDdcCZ6ILLRQhrLnanvpwA65W
VkCYmPpmauUa/o0o6YvC+beqUShpjnVP/VBypITz8ZjUjXN1RjWeHS2H+7gxgUik0fcESPe7W3rD
hg+NM9LUtHHJuK48qCh8kmvjoS/H/DGr0xzFK2tubSelapqfCAUh6UOdJe2tMabdmp7i5ivXngDD
gD3eTpBeNnp0qSdx+U4NAtsbsw/Cp9mXJBQzvyLzmRQlmzY1vPgmtLbODl0kp8nsfmT8+ruwE9mD
7AuCmfga1VXCsnnwicMhgQUJ8jtEo1thIGkmmk+UlNj4fja64mravKKl17UXOxXiPGX2StcOFcm8
7G/K0Zlf0QEhlhltGxHKobwOdgn+bsfpxaZK02HP4E6leNWdPdD9JzPybvq+qYiqegWwjNKnejEZ
mbuKrE+ZEaEikEYidxlgJvTm9tngEwGfwhVemrkL5Fn0S9FRVeCG6JL7yKnvDKxm1lSrjcrEldkj
2xa+/mi0lMc8KZ+nhbDJQfQtl3W2I5TYThTc2fRNoT5h/Tln0w8j5MxeWoA75858EZ3CEDSp4KCH
3rgZfKW2QafDTWKKVx6GzZ2t83FnoIpTThC61Jo24lmAgYBvJBuEy5poKUd6LzFOkpFtRRb3FZRA
te1kXu8zzIgMvqe5jS8thTAr2olWE165ImCFwNS74iicA6tOaIMddLxLh2RcC0ahKzWV2YP23fAI
bxPgDlvZEdLx+JCP2bwv2hTqFR/Y+zkdvRtR98SwneFYT1QpbRAgh4dBtM8YfoyDUU10GlE/Sw01
+4sYTDxIhsjUprLYi++nYHDyC0HQWyIR38uqdLeeN6unhKlwB/A+BRMSB/eT48d33LvfC6FRayr8
RHNsvXu6J8cV1Wb71tT8I4OO0ZtaZ/Y5zApWcNvlJW2GGX2FImO+i7L7icfuKqKwcUW9BYF0WUxv
c6cAEQY8n7n5t5d4Gqc3NY2AA/LYrB6rGuOUSWcyrv38rsQgCCpLMZfeh26Ad0uzE3EtEQx7mUv3
cDMn5VGn5EAYElvw4LpQ1zaRv3SJfhvaBHGHyM8QFXwKtAkNsFYRr8vLgF6WvBtZnDsXsV/HnrGz
ZtA9vt3muykiK83DHTlz7J6jbGoscZj6oj3RwxZ1fLYY1UdqQFug3DmB/zZGLOV3ae2XOGvL0T+k
HQLIZRS19zDygf3o1AFvkXTgpYdS1bvfGmJFp2jOp2YFXJ2IDa/+mIRfFaLDGoEUIGW0vFYQxVgS
uLGfShuUfDUFdGKqpAgPQdUeJ8Bzd1HWZY/AXxy5wrct9xH1LMNazUP0CnixIYMi8oNFjPHdZ+pX
KzhN8GfDqRWX0Kkt1CWhkcPmAYx9r9l0B6fv+xUmZ/wBPNp/FalgNAdyOty0fdPcT6NdEYciWlyv
6GXSuEAg04wr8K3diwkV4L2qzfiVz2QssOR2b7Cu5HdB76pf5hh1kLGywLkaBJ9fDPqTb3OTwjEW
FLIijvfDLRRJkDhyqg6aRI/NAcjZ0S37Y87Tdt0wP0ybKauX82LATxGhLvKfu35yL0hT2Q8jMRPM
F50NK9DT8fAQVMJ75nNEbTV3j13HiZOgBUG+ANK+FYXHms7jj5StRvAwCvE4UXy6wFoxIORTZNzH
idcAF3fy+hWOVnrrZDoMeRW3Qq5tlc9436v0B6mR9IqN4JFmJpqkqMwJjhyscix3EW9WXVI0OleU
l62bofGnlQ1WLd9OtjJvdBYNr+4wDT8DP6refAHsoTASFlwjVCHQ+WoyTrWV9PeFy/OGTpHa+BDm
1NxRcQ680wHLcsChr+uDNAb9psKx8NfTHHRHbbUOFvI4qZBOZJ68VKRExMovnZYAEdc3+BVOhd9M
Z0fec8S8O9vUpEcFGz7fudo6sjZfA9UGYlvEZkqHVG+4+y4T8TVQ2txzyJI0kHVU8uJpxpTkRAi+
rtVzYUpteZmGtjpZUettPC3MzdTTq5bZvOBkpuc1pGlBigZLG5wkugQjEFQrq9EPVte0m4ZL+IUW
VJwREtPGZpSJPjZSUOyeZ0X9mtZJi1gYdo21hv9afqM9UBfbFlxABZOomn8CM3RuApPrk2N730UY
qa8yKvL3MmzKHU1sfbbhER/kKwrXsQtBH+SJyGHWPMbSlDdqFvKtd+sM15rGY2uHLiVnkzM53+XA
nbgNLOdZYbii2jt3RmKdNafPoqSJjKg6/zWdu9Q/gNmYrn4aVP16tCPrvVc0F+rC1W9s5+2Dq3DR
rZPRNl+7mQFyG5pDx2vJbLoV1nXrh6q4K22D3AuNEx6U4BvGk+IrjkKvIWoXjeeu6Sb2SsOAqlJT
Zp8DgjsmYXpPwjb+VhXyNpx6ohg5hbK+scXwyHFpatWDaJVJuZkIN6HKOUO6RAfuwFEYK98K5Z4W
SFrK3LoX3yk2sMH4ljp8LsREAjLJB8Rly3CsaW01sQlrJQxvm9aetwPc0KNNkG4/C7fdzNrJdp1p
dheLC6DX1fnPKLE7MJudJ+FWIj2veizKm9Rr668hroTvniiDXV/SurfiT5PWMF2L7iayR1K4jFl4
VQMXSSeuyZOC5hPJD409rFixfGLmMaKMR4tDJJiz0UsWjNkTAlm0N5fevNoKukvNTQcVljaPc1rn
ah2azIj5QDYW3lOzK+qqO/ixok2R6HL6rfFJ4624G3MFiGIX76vWtrflKjqfU8PSp8ET1oV/wuxi
izj+COa4Jb3RtrDZqn4XKqc4VlnobOx0ftETJ+21ZVv1e8iB5t6pKo5jZlwf/70l/3PGHZ981D/a
kosf8V9YBmzWy9f8viSLL1LRfythV2PgkWgpv6e1/C+Y8pjAHCp1l2WXv/T7jmx9kdAKTFNKF5GF
lNffd2T5BTYPjFlm4r+t1v9KfAs55f/bkR2L74IAF08t3/5rpVXHthbP0WgspKRxA9Ite3cT+HyA
eUwbPCfma0iMzQTVtDP6YZ2G9GZ6sGBuZi8Q49qipodezrj/ITGw3M2kE96UmQBiClUK04ivyjdj
GfAaLubiLXcDB6qHZd/h3/UIWrGh3eCs8WdaE3OOP/Rze2RG/EdS7Nm1Hrv+zuzf87LmPcNi+dxi
/34t07g31nOfFTMLiR7fcc3kI9UzxjQzXYfEoEaC7+PKaSlF2WqvSr9HvItDTAs57JkJLBzmxCnG
LF+BFggy1d0ssS6HZ0swc5WpwT5ss9KXrJQOUXxSTomzr9SC0aNHKro4iez9LR9YMemlgtg5Zou0
/NCN1q9la863XTOZ687JmjMV8cMHl8DiVbQx8BSGmenMWap6mHQSvtuRzWac2OUqx23NBxRtqHxy
4vvzh9sZEtU9Wiih18GnGR7C5CAp6orTW9/JxweaYSipndrN1JRHKQc4YpQmrfuig9wmpv1gx/Ke
kIeyV4mTf4xUPTKO5f6951pcLdqkfXQmDNN0+TZbagqcQzBrK4OOx0XPbUO5SShvPUMCo3p+bqzq
1M8ZVBkzBKTGqaCSF1LxdrGujSl7dnLdPVIKxCTVWZA2AQJb32LaAL61BuczPbigyAplXIYZz25b
sNiXmPjXwxjMlzm0upcsnXS1XkiylyGoqzOHqP6XwvwCt3hqjXTTZFwge1FkW43pI9kUg+KUZnG8
uWGdBeZAOXP6Xn2aWsmCu/swzhF+bQCSb0kCc2kh51R6RaFpeF/4qrAOyLLxNdKp82KHefygZpff
zTFl/WhhLd51VSTOlp2wJERdGR1YhXGiTri97bavDsNk9dcwyqE7Awx7NYqwPjlmrn5i2JD1zjM5
068sZ/DjLalDdUX4mQcu52FpfEtCx7uPRMzGRHEQ5dOqmdMPoUtHLS3KKZ/eFH4ql0NvlVvFE3+O
KbmEJrqXY9LcNNYUnSQZErW1ygEHU1AI3CJTmG94uVK24VTmgsqkzNao+OtWGQri0aIrt4jh+jZB
To2pJMp5l38bCysRULtCpQQ/npFDAqmTPjb5j7KwwhZ2heqnxMMyoUYzuxSoYEXL8Gm09MsOGJGC
Hg7bdRp6ZzpFsPkP1eDdWwAl2PzlvHYcljOYW+pxzHj3bBsauF+DgNOulQVMT7LDWbdOtV3iVmnc
RzhxuIen2GrXrZgq4gqxeStYry8ttrW9gJy2asqG3A2NvFsV9OkWPCsvRd4v16DBC7WKMQN+HT/X
VYQKM7mXMcEbtRGaZf5RzA1ZugwRo3BvbQsmwtDVz4IR+sFI/YUevWzIDqtyHxbeTblsz/myR2fL
Rq27fHpApbCP3bJvl8vm7U9N9jDUDvaj3/Zy0qiOyrYUL+cbWhJX0OFiriDRLd3T6IFs+Carfp+c
ODPxd3KMat8taoBCFvAWfcBFKEggUxDFNleWb1FM/KkmLLpChGMUVjhag7WoDnLRH2KECLUoEgRT
ObYvKgU0lYBbNk/rCQmjWLQMuln5Q55+1E1/bmd+hkFrnpNPAcRSqbkzm+jr+KmOIJP4ckIvQTgh
y0ELQWxfzUVTASb5zNp35w1Jct8iu3Ae4rg4nSkxNXe5WT72sZOv8lG262ERbgBK9hv7U83BGuQf
ZIQpHbdJxj2tWXQfFKAKB9Kpdppzu4hDEw1Je3sRjKyGLlZwX5J1UaXRqQ6liPnH0/MrJ7jmRo2D
2HkY7G1eRmdvkaXMsLYxwyxSFcjfveEWxl4w6a5bTlS306e61ZRWv/IXyauaJnXlUMW5DCNL9kAH
+gAIs/4hy8g8pXFonedcVVuj4fi01pC5lscsOT1gyDAuJNbtDfQyesEWOW5ehLnQC6db8MwYp3qr
/jqnYbc2XLwmtoofXLpqeUsg89WoXigpSH8YkvLHPguCB3cRBnFtkmwoQZA4/DEpdo9NugiJ2Ri8
R4u0aC8io73IjfEiPHqLBAmgC0qH452aRZ4cO146dN28uIt0CQue2TQZ6Sjz+E7tVH4MrBZX31CS
notx2jnTrGB8yeyX1wTF7Txsm0UsHVqBblovEirPGOOSAKHh8hvl1ZVgbbapFtnVWQRYd5Fi1dhE
H+JTn1VlQw152l15EWa3qjSze4CHnBEXaTdeRF4AO0sVjtgscucxX6TgzHfUBqAI8vBgvbl9zXxs
GeljvojI7iIntxyyd82nxszjcNGbMfmscVUXu+lTj3YXpOciURtIuye3GSZyevF49Fo+Isd09o4G
Db/W5t9z8j8zJ9sOHJh/NCfflnUb/cfmHXjbn9gGv33hb8Oy8r4AEPBM16IWRQJyAzbw27T8yQQD
6qXQ//CcMC//fVr+dLpzUhI42jmbSu5Qv12UhPvls5KWggta0Gwuqf/StCz/DDsQvpKM8J5jSxtw
Alb3vzQ8COXrxhulfZlp6QnnfdwwlZDR4zyJ/nZjsGBuMUYQ9eSKlFQrXyCDG3aGKRHz66HptXEJ
+N63Ew+OXThVaJnljFweFoeodrqTz5l7g9LqncuuMB6rAjZWWYTGmRKzBVSVe49kXMavic/avurK
xOBVXjE6NvjGPCBSgFhJG9tVFTNNEFzZJ5Xi7c7XcLgID2kc3XjIT1ja+ZSPqgB+QXWH3rGRjmWu
oI5ZhwpP2YquECCuHL4sgbumS9UmCqsfnWsN1AhoHEV9nTAaF9MNAcBwO7TmZuzNjwifHybAxtgG
SWLtJnOe90DJ4V+G9t4gov2ipj7ZNjqNaRhnxB7ruzolx2mEafte262zy2Tu83xFgXJyj98/h/TD
T4rnA+PaYWq6+CrDiJSXZc0HiOoKRDQeskHrHoRAcldPChNSk87bnA8T+IcKrcHURFRN1+HZvmSO
EGxxC2QNz3V5E1kqYELLr9jQhm0byL3KuwNQsJTFwEajUSU9rk5obuzA3BuQqSgemp7dtp/WPbyo
LaCedtPiwoQO2oXMHwb8eL/7npM0dXAtnTQNHWceRtPaARBGEdrOiDO9I0debDpyhgzSUq4q1zuo
QAHGIFbpp2xf8RwYHCniknG0c7nq4750unHc4QrhEkDQ/mjjZXlCy5qPjYUZlRWA5+JouTvmsmnD
ECRwf7gUVPnhfuwwR1Xw0rbKgjswanEGWHwkmgU+EUL6pmtq1Nks3EcOdYSq0tUmy4xtmlRP2Jie
/XG+JPYgKUf1xM5gHNta5hztpc7fZzimCVUN+6QM6vWQkPw0FaNLZaufYjaSTdsrd8Nr4inD6+wN
vCQg+j+oMil3XZgSMA8DJjk6nXuSVGvRZEw7rXus7MR6m8RsrdO6OY9G+p2FYUQm9/UWLXI6uAUG
9HkufIrseS3EBYlCfH7igKkfPyb9Emsz4/9Lrfqb0bT5JpVjsPGKhrK3cqr2ls+fIAM300OS10xr
ydfa9sIb5Pl85/jf2d7M0xhKthLtGU+ZsHLyj14kNjKL4yvQTZ/4r2cC0SLZqWGjPZkFnhcu5ul1
lr7YNM18A4kh2zEJg8cIIm83p12+cQG5bIsRw1JrG+Z97NXz1pzTfGvB9153LoNm1Dq4eWTiHS1W
1nUc+v3BtsNj6/b2GVgmFVF2pL8uFSo7XIaIQiKR2EDVsCHyW61Md0ntu4n5dQpAWbUG5NC8r+gV
iLRcq27mijmnxWNqONN9oDvzZLXNAIvVIxdCqVOKxqb9YcE5eOsuY9V38PDt+FaJ+xqFwy80LrgI
sn2ZereGSL/H0My5OOJj7iuCP53fGxs58/PUc+My8cErpv/nF+hcHxRW6Z5IFDKheO2j6cfHrug9
dDOO9aJ2r5QXV9vBJIsRqZHj0ZB5GyHwk9uV+gA/duXocx9Y3X3WsYgQarH2U2z8zMU87bIaaFor
L/HAr29ksR+o4wEeWhSwaHGB59iAN1BlGsIijo+JMn6vSuzWoT8/NqU9HmS/8ERII7F4d3ATTJ+k
ZoyFri5A/+GJrm8mW+I/tt9V5WiGyMThZMXeEthRiGyqwFEZhA0tIgSi+tmj5a/kPAW3bo2UYGaw
9uDfpTsSAf2WtZedsiXAPqjcP0QO8LfMfvO85pKEIjk27vhMDyNcMSCC62xyvGNnxsWTUj2iZD1w
2kP+jAagVQHpeTjGT7bVnaVo61vt26eYdkZGyTK7WfzKdH3dZ2yLm8DBMMU+/KuuOxP6CSwId+7K
vRCU0NIum2wrGhQvUzbU2HhrxHgH73cGWLpxIs5thE4nMbFBF0zHHpbe3p6qXetnSy6X37GY5ycW
zvgeEvolsfgQGok/cb2Cmonhi8rHznVXJj5sIsJYzXCynbmYHsOaFZ3krAEekCtzFvHxwrDpvWbp
+G0Iuu7ASvKj7NCmojDDBW63w54AlLGjRtxdy7xXd23W35shprFKiOUbH2501WBAdCFv5sG1TEi4
DF68GytiGTzQcN5HxkunsB9WUBgdWHw8C7vu6PdzzbOG3NMUBN6B5298iuh03IcYuhHA6dbolhuS
T7Z+H3OC24VycHbw25z1KLS1D2XyMvQEaQERP01tc25SlBxthL8cQ8tTVmTBzpAZZS8arINbwkWy
RG6efI2zrkQeILOJhl17dbkZ/Gl2iu/cp4r2q4jboIHXhT1EFYcRNrtYMO8V7cvPbdDncsGCQcTm
ms6rL/fvArdWgwbBgnjMm6xMcrdxDvggSHUTQcOO8NXphsIBAkYBHkUoW7cpeXpTXgT5DTB3YQfu
FeeL9FDh+hFJj2UNa72istInnoiNJYvRzLl41nNd3/x7vP7nxuvPUfO/N2vd/hz+4+bnGH/8KURq
O59f9ttwTewMQC4eJEd9ZkiXCfo/h2tGaDYiU1hkPqhc/vtw7Ui+CIVaLdWlUoIh+c/h2rG+OBhT
cXlBi/6Ekf0rw7XL3+hPjke6kAE++a5wGf+V++nm+oNbqwK5Og9hkVxqu4und1EKTKyFkK3YmpEy
CrB/SGp84sdO2eTGkYpU7dZr5criUIKK33tGg6DhhORGDFO7GC6mfj6PLJo/qzqTOIJ41c7VoWip
RAFElGbDJB4NanaAdqx6zrxQNMFGowiZU8iLmVqtOYnUnRkbrcSh0/WWg5jc1np6dAqqd9Yebl2y
oM4AlH41CwO3TU1kHMdyTOcZJ0k+PuweqObMu3R20zG6eIgG2n+McN6WA2XkvgOcmia1dkY1LXTe
PFGa4WHlTFi5zZe4ku3c7Qvd+zYnaxPbwDkmIgQWxawYt5t6Jys93bt2VrDDT0PCl3qTMb/pgjDg
v9+Af4NQ/49uSZrB/9F+S0H3n/Zai1WQL/h9rzW/WEzwXIb+dAFi3SWqgmHapnVc2n982wlncUla
cCGwUC4HoL+/7QT8Pm+5KUG5J4u9fNX//T8f4/8Of5a/GYubv/zvP1ZdQqP/6/sOirVgf3ew2eKX
/Kwv/sP7bsrbti9kTHFJlY9nI2EuGlI7vY6Om/7Ii34+gmjAn0BMAK9C+mlb+DQwJIuXIZCNcc99
F4cDZ+3+Xjht8JzOyFfnajFDRC054GP56VYICvTNNa0AWCesAOMUTd3Pk9sODx3oOBzrU57RIJT4
2Y9+MWH0Vec/R6BWMId8ujTaT8dGsZg38CIco8XO0S/GjuTT4+F9+j2KxfoBTyv7yRvgGNKycJuo
sX9p40pcMbTgGul6HfxqFytJaPQ3KYEjtrwiTl7nxXIigrB/GUMotPbURL9gqeFLoTYGKFw9yntN
/JaT1uQ0KFnheDPL2hoI1gk6bHLDeCiLhCST7PPwtjfs4Oh9emJC3CZYUEtHXOwoSXnjI4jhxxgI
O810Fx8yL2i2wJeiVwvI9rh2/NzfN4uvdYWZM3ucLGqwUMTxr3RleIgH1jSAN/7Jxau3N8tRO5v5
/7F3JstxI2mXfSKkwTFjG/NAMjiL0gZGTZhnB+Dwp++DUCp/Kbsr/6pe16bMyizFYIAR7t9w77kl
84EyicmZIcaz8LnE2XOjXrMG9FP4tzG+O3X4dSbDqEE12vl4n4sRAV7YybUV5e1piPJsi/OCrCfU
kbBtWhWeO+LjrsrZinq2Ce5IziHykMCg4XH0y/YQz0l9IOalZ8sWBXIdpmVRrx1o209tMcmT8AN0
Mpbi4YQFwxGjqYqLwPhjQpHV2SX15hoWi+uPb8UA9gnUtAwQl9ZUb4leiMRR7IesVTxw4DHkmG3R
V90FkySLf5UiSME9iaNtgssN1bqXJ5mVdrLyEhXfB7L5zhk/DwdT6jbdGIDfvoPLLhwuFE1Rnjpa
fqk6xuqHiIr8NRpUdhztqt3qcM6WrDNvfG9EyNJs6pA+oLbYhYbd+azUWnsn6pDFoiKZ+6JlH2ev
rQkFbnyg2Esh5wiNAHLvizF9nGY/uceMPYviK39da3LWBM6lPFvlVBzlNyaw2xqmoAfp+y7uMeuW
osZc4cgRS83ksV9YqLoBrwFCaUP+9JPTK6YvFRaCtYSXWx2iSiyEL3QoKD699Qhj/4RAK9+RnVHy
9SZbeGae0cQ57UiFFMEJcVD3ZlOuWymiXZbk88rwpQV7KYQ4EtvlpsjF2ZIh/iRT+CtVO49o9g/F
ZLo3unGi9Wx2KNfMaj4guuW5UyLjQx2dOdpUQccn0Kla885A6+vRDQ82XtsIhyBEnZNVduWWPt4n
xS6cbgYykjYT9IF96yLrWwHUbs9e3w4n/Hjl4yzo4FZp7bl7L6sgQYT9g074YuZ19h3ay4swcPgX
Qf416Gpnk9HGEgiU9c/GYBV3xaT8dV+hxEiVK57IjeLUCnCLsXdDHmh6SCmxlsHDnuJgjdiNMd6Q
32MRfA2drljHmi+2UQOAl/Gjh0sWxp7I6J/wT2apObor9qvBodMextbcW552PT1TXSUbE83o0a8d
vWUYiBPZyqxHjwAw5is637IUc4842cutB69DrWKnH25d9jDbVmV4LHE5fbALx3nzSzfbJIQCIIhO
2P0N0n9GQzCcm8krFIdUz5nCGJ5uJHUj44tJ/AhjvjzWFxPSOdLGOLvXI2djjtnqUGvHOQxw1W8m
YYRqG/ex2kWWHtayMss1+XTkHad5e1cOkBz9rlwkLta76bGzw+477lREZpUbtnKLZx3cn81DeSDj
BUkAXQor0bjgaVt2xheVJUP4JSWtlWduj2goUyXVOmHteZOiEr1kfYDpyXShiVW5ZtFmmVszaKpN
5vjDjmakfGPbFtwnMkZVFvPnf8vgd1jugJ2XjIOLGGla5yI2n2EzFN/72ZEffRE7T36rqoe2JSd1
Fq25K4Ag3I5aBsfMdGifCjb3Wzi5BYdukg5PqWPDGUh6+93u+Ujbdgsc3Wqr20A0PbgdV1z63iWw
VLKv78tpfopF6QVQIkRKFlrI5oll5E3vYosxEzdbj1mf47wLODKL+CJCIopSmJ+wDgY/APwV+Ggo
7XgD3w8pQCQTfTKLJtmVSCKwvxTRS4KLM1mRxtR/Yr1BH6aNMb2xxrw/gGtr4TAJ9bmUQ77WdqOf
7dFGFBZlfgcFKpXxym/7F6zczK0RHt0gDAO0VXhmxuetTR5dbxBPUEgsKLAZU5GpRQcNZyz50ACW
h7PnqfukrxGFcDC1B2509Z4QPfVsJ47fQ2QXpB5MNi5Ay9EwVwd5IqnlQQ4Autg/20LKN7P1luXN
zIouN99mAL5U7crv0g8Ouy7AlLL2Bm6i3ATYr+sE/2eFA3w7CLAKsz0qSKOm0l8DCT08ymfWvF3K
EZzAzBkhoE3RKk7mYT+Z5fOkFCnT+URML5bDI3/KYkPqTfFgL0oJWPynITaaTUu4zH+x1v9WfWw7
nkXP+K8b1Bf5nvzqJPrzH/zVmi79JwHk1LTCpRKl2v3ZmgqyYNjrhC4boDC42oV+qqSsP0yEHRTJ
KKd+WoiWdpWGlRWSv9iOEFX9rRj+p+J40Vn91pNCdrVJySZyHk0ykive468OIqTtaVLPwXwbVtoA
oR9MzTxjH5/C17Ik0JAQ4lxDDoubc89i96uYZyL+sJ7czy1JQ/C56rPV1Oo+G3C+wyJUjwkBmPes
WXpC8WqEPFHAsTmZw4iIovScaHqEqqGqdj2EYxA6L0mkMJoemDNiF4mnkfMUC6lxCTEilqe6w3IS
ri3iPYLveE7mdDhMRLWo8RgjyOLTH/nKyMCHBu341Iw85CejqnE6Nk5iOds4w4F05lk69gVVKYNN
Xpasq8bErV8umCXipkAudaVTQj8sUiIY4be1vqXt9VR50XNVWsmzltyKvKl6U+jB+DwlZfpMA9u1
2DyT7EFhFZCqa4/aBXKc1NHwHqJSXHV9CWE4zfkechjZ8EwIuGQurbRvVacMEOgCj9L5RJrqNJlj
e6ZrJu9zGTCruyTOR+PIEHkioyM34vnJmAX24o0Z51m8i5zGJULSIqxl2I+RiWr6IMwYoTdJgfnY
5urRK5BK4p3vYZjnq9K1yHH7r3Ly3zoRLKIn8OP96xPhkqS/D6t+/IM/T4TA/APlY2iy0EUCiTgR
A+GfJ0Lg/BHwraehZg4SCr6b/7MJBmzmuxizbOFzIF2Do34eDMEf2JZNQQdOx82hEfwnB4P4mwXW
8cNQBJbrQmnjkLkKNH89GKLJiEfwqe5xVGYTbayMZNikaKKTi+J+TT5I/yEEWbhj6ad3An3bCfN6
85Fdknpx8SB9dLys/4CDr/8QKwZAvzzJP5v8X5t6Ft6/HlvLb2dRhGH64zCFmva3NXU4BF0kptA5
ZqNTv0NlU/fXFFtyLcF4t2kx79HbswBr6txZ/fNr2xacut9ePVhisZCtssj3A+8aUPDbswFo1XhD
2h4RGb2VhLdycAxpCPagqxfpvuvfYECpsFTPnn9WTpi+iKxLPyldaVSkfTsCKJntU1zE/Tb3hmIv
iw56WNfW3oPP4g/OFaSIYzSVhD42oKdY7zrY1RYcsipZLThjX14SazabNY2XYMjW0iNODDg3w4BT
ZoVo3WhRh3qsgTPP+ohJKMfpBJ1M90F99nsKdSD0w2NS9dUOT2JF4Q9XHmJ8G8KKDKMkW9upY34w
us7YBrn/PChc//S8LWsj32uqu86hMzMSg56hq+3xMBM2iEhUQ2vQlEYr7XOYk7XBvqxJIDSVlprf
qiwo3ZVBGtINAXrsKbtZfggmpiyQyWi4VqZIFI4agAkLHXbGlIReVgFgA/kB14EmxmofQ3DID2YP
A4j09pYBZW2SnlChUdoEiQq302B36W60FeaRlK/So4qCmCa7bb2CMWYinwVKx20lEZTC6kGNv6ks
2i2VwipaI2YEQwGBGpGXyCOQPJHM2YC5XiMMEEnaPleqM9mlxak1rXB+YGXC/c+fFRcZkCLLItze
8TrYRu6bn80BiaNedZ9Xndr1cWuRCuoSR++A6IUjZ2K9MjEv7jo5uffYDI29toL4a5tYgJHNdBfK
cdzwTQ2PDNrKR23Now3/achOcOqyTYBg6D3xZXPQ2G+3YdHIwwwcniWoJWO98jNr9tZsqRS7ZwQX
+0BmgtycQJ1CyHKvNv4CYF0Je5PCd5Nv2OHGi6iFglVS+eU3y3dygJ4YctjgpwDUYDnAoGP27NoU
zJ2XbUiQfkpieu+7IU8HbBAZBozpSXQlVL8V4qmaAE87amOcG/TvoMBk/rXKkgisuuyyvWXW09c8
H0vSu3OcF4BfGQibt0wIuvQd9mHRHMJqdCwaky466UGT/2na2fjmYYgjhtG16neNcHXATjooaIOI
HZl5gE4pNh3ov2TtoahKt3LoKmNbR1Q8I732zMDZl2I7jKRhPs1QReB9gUNHxhaRZQ5dAzn1phuS
uPkED5+2NF80HqtwdolMj6fcPGhsaFwFsrrpkiml6Gad+97XZBSIbi74qCuzPs55nz9ShCyHYcL7
BwpdXQCt+3fWUBM5b+CNIlZ2eW9zAtyqi7TAvks4B+vb0emZ7XmYNxil8Nuzq9eHtlb6kCIP/EiA
R/1xGq2wX4XuiIeUXFU7YOAxKGM1mGr4bGYsP2+xjrjmXYhWdIC60dTvXQ/nd4PvWO+uRznCFZ4T
Jj1rK7OAczQ35LgglPVr0ZN4Wa/zydZkcKnIigq94SYQ8ztTjA4FbfBDSJv/UNeSKsdSl7kcA4U3
fKYFKlwDfeL7MEs4anOn+3PNGOGu7QW/8QiQ2dhNA40XkSNds29pVi9zlYwoKeoUdxowfBzpaWxd
HIZ23Yqqsrh0bsEMsyJ81N0E8zgeVc1YZ0U+W1LelEbng7/lN+CzW+LPrKACQVRquwX9b7vRsKn6
zv9kjNWEQSft8nBdxLoSBLB4AAmHhPEhAiJ/+lgThXWXeOC8NgERBKuIKh5rDTVbDsTmcy/ki60Y
Xo1hmLl7IUPmvV5hFxsjdyJmIUnQopAO0nJk5IhYycGAAAvIJLnJHiO8llA8bhJW0M9WPqglQGJw
v7hj5S1hKSLZ1RMxflZtaODVLrhMskLPUTImNwMgFkyRLWIE1QaNuw0QiJ9tAgiPoWURO8IHyHgG
K8UpgFh23gAWLmrUuaVvEcrU96SN1RZ19yxxnO6ryZ45/UYv6zac4/HajV2HEQgHfl/a/YfrPfpf
MMX/tmph2/GPheOZ+nP4ks+/tpPixz/6WTwuZWD4c5W5+Gp+lo7hH9wDjsPMk4YHNe7/lI52+Ieg
xRNL8+hBWFpyjn6Wjh6ciyCEJCFgVkCf+Y8WLuJvPaUTAE4Bb+HSWYaUZtbfaLm2ZyddoKP4NBJu
CeaBWvZhIu93Z0+V3LPvC0+j+TkzJgwTSBdARtZBCNB9lAeIA+PebkW7RzQODfyfKzfX+tsqiF+N
N0cfblrIOQWSyd/bXdW7M6qjwDv6BP7Ul5AJ5CXQHtJ+qLVuvqIqeEqFYzjbtItWMrYRoTUjYkAm
xdHXoKrEQ8+Kt+22zeyX/geNxuEOC/Qk107Si49lgnmzg6LRkC4J/Zs4bTcDdodqJugNiHTSCA4g
9vXGMfMKjoUoJgefaA0juHtJ5jFmZmSUGZ5kzjYc733Bl9bvUZnjVwmJ9hvE4uvJtqoLn1uqPOIj
wimw74lMHl7Cmnj1qWs5aMIC0uNqmLL2czmXJgx7Gxr46ACfWtPys4MIwFyJ3YiYpziBaUSoA9u0
KHC22FCe2h6Ydjzh7oteSfsx9tT53amNM7EfBrv/kppJR4sOSYQ6/wza6NSAMHz2q1SBIwKt7/eD
hJeWjCdlIJFKfY0kpMAcctc69nxTxQkaQdCHeE5E/Wg44Ufuc26JFGDlRudF8kYCbeOv0AVOtwZm
kgfsobAJ/GTut1M6qhuuwSdziLkH5iGF0xpWALsmT8S7IDecz/TeGUHbSb9SLlxNrEpm6j2aQd48
juAGkcgE5b07ah+eJd7u/JZ5bm+/ZDEOSyWM9KJ1u2XCb+3asJieZ9NUqyrBnKio8Pcgkapd48sk
X4vOG9Y9u5utxoB6UHbUbKFOGSubDTZbg4Zobi2ntWhj74Gn3p5hvHa7jMyhUyzs8LRIEE6JMKlC
o8os3hpSR55rn4l/S0kP5XYw2DP1qYYNYqkbezT9r+h+vB2G2BYRKO++swgRLeaRWNu0lgCEqRp2
up1QlTV5k7znfOxXttWpteSTRhMQT4+mD3wI+NF4dqd+2OJSDvGckBALHrJaWRM8VV1J+zEhGBLb
GCq2uEtRtRVEd0S7idnsvNYYxt9cfsjaUIXBzRgOW8ht4t2KMyr+bJ6/WeTF3LbwCTaBUt0BVAIu
O8nq5mNvzRr+By6Jo3W9dOrrBaSvl9F4vZgombikrOuFxRiey8tc7rHieqWh4DeeXUUJR9Ww3HnL
7Rc2LrgGxXM8jtfrsRRFchOzHDiDHuDpOXBOaaCWJeAIvJcQpIyE7cj5gkd3gg633MN6aqqbsABj
B+WszW/d5ca2l7vbul7j4fVKj4vlemfZwFXP9mh68IkNd/d+XnvHXHYvYTLpz/6oFVHCvXMMl9qB
TSBlBH1EfcdJOH0kwoEyo7mWHOW1/MivpUgMSnOmY6NCqSI/HDbutXCpr0UMNjTnqK6lDYBfyhxx
LXnma/lDGTce62tRxISeAilbaiWkcZRN41JB4TCbHryOmAuwb0uJNVd9cXH4YuCmCxKKpms51l1L
M1RO3p3HcXAuEyBrsEmK8jWSVUuSgC3rrUITdhst5iuDmJIelTWWrHQxZ/m1ZRQbMZC0SHXf3nh8
RsFOLpYuOofudrKShEDjKX9pFusXXYxgS4BstGyodzieOXzdPs+/ZLHEOZZeXWRsJb37Pp0L4w0O
ET4z1WI5s+zFfeZfnWhxg4yMhhmDWqft9jSXYqL9TbAlLkY2sVja2BlttOEZUPEWw5t59b7RJDjn
JCQEjr61e0JxiksuEl7ywETX+lCPJbpsoihRuXd9fO84ToOED0ljsbb8pP9Uz8hiVg6QB5dwPzIn
osWol7RhSyiGUOOtDCCSr2JBXCi2+ABPR84K4mKoxfbnjgA6MKcRa8/5Hj6GRjLtWh+AqGeEvEQc
mvqG2tzeZbOdHbscnXU7YTfkbFDHbLEgAokQ/A8fOs55vuQ55hvCXevFfrQki6H+xseYuVgaxdXd
6M/W4nTsMT3iLmKUOrLwOcvA865/toMRJOfS7Az2nTZvchT+tk+8L5mNT2cKUOLlrbJfsa81x6zx
/fvQTmhtcGFa7eLHDN3cviijuckijn7tFjfxHERYNOtj6IMp8FyDfCBRGpvABMveNE52NyMO3Du1
0fAPtLIuFV90+B6LU9RdPKOWRdR2mczYxTr+Jw1M41O2OE07y1Znx22dgqFPghPVDccv4+JOzXFi
bDqAGPulLvlcLC5WPqWuvcaaj7kVQTFGV9qu5KYHopwgh7W7sx0svlnXRjy7Fr32nUXsCroJP11o
72YidsEU4rF79TIpq227OHDhQGHGna/G3NhZTLoZGnW9klfzbpD403vVB4uz7mrvhbHYfYTdn7+y
D+DPBRTWycaLYTr542x6T7mKXDKQF9OwTSCiRoWd2Lf91VaMs8e6RHmFO04m9ad58R/LxYmMNZe/
FyBhDMqGnVWfbLct+Zn4l63FyYzCAJucn+BvDtpe3PR0JXyLFv9zfLVCU3chzC8COJRk/Fr5O8qe
jz266o07CxsraxY2J4KwDZ+pfmCgMcBWjJq7IC59a9Rt+QhwXt7VC3zLWTBc6krkWuASBPksoK6h
7x8RcHNZI5a7hV2e4J/mK3aTMth0N3ircFRNTgoNxy0djI9Ldlu0wMGwHLafA2T7TJy0EZ5wVUGg
ZloHmR/cUcj6cyGNdQt0LLjyx8IFRSavVLImLVDaKkP7LSORbLxphWZSMV15Zt2VbUZ50n2wrsSz
EQ2oswfEAF7oykQz+QxE23BBpY1Zt3RxENfbA7R3RyH0jhKUt9Bh4AkVdvCkFvRafaWwOQuQLehy
DtokXLC8tVdkt10y52rN0V7iUg3Ua2eF7SODJ/9TGwXZvvawta7yNAdeIqKFZOG31b7tO5RBRlyy
WkmEpktt6RX3KYuJewtqTYmiFp53PPig+SvTSdeFGZvHJsgKc80Mxlj19kAEmsLya8uzF8wWCpj/
tnX/joR1SQahnfjX+4CnhQH4/3CI/fkPfyrp6MUcxFsu/Rhl6a/MwatDjD7Q5uxy/qamwwbG3J98
EqAJPyR4f/Z2jvWHE7AxwNRFGfmf9nbXFcevs28z5EcQ8Ss4YBjBs4T8vYMKTWTZUdQaZ4Y/4wNi
13KrF3FHucg8/EXwYXKMPNpXEcgiBxGLMCQQAa7THLHIvMhG7B6pp2gl8KerqgQrVcXnE6kJTuVk
m6M+iRv74ORyXEWLMMVBoTKhVJkWyQp9SbA2FhmLuApaeqQt4SJy6a96F64A64kChRliY6EYtePy
zpnG/rmyQwCryG03kJ2LrxhnV+SavmTU2XYjORSi4WEO2QVmi/yGyxUlDsKO8hEdz3DCmtSe0TeN
2MQX+c64CHmyokK9Mnm4h2MW+Nki+HEW6Y/sEQFlea29TczjvOs8A5XQtAiGxqt2yL/qiCgZ5oNe
xEUM+CNMYa17Y3bBoSisx2aRItmLKKlEnUQcH6b3RbAEPJ7B0yJialtSJOQibOIDQ5rFInZqF9lT
OrXrOEcIxR+rPHMk5jvfNfwTkGFvHS3SqQEu2E5ZsUJVf9VWuYvMCsLUU+tWJJbNySsqLutlKl3v
qBx//FgtQq1kkWyZzEmju4b714QgkaRduG4N2pfzWMHYeEJolqPeTac6ML7khRK+5kwcDL0bUOoz
+q7qnsxgEu9YOUCCkisJs/KxtavgDoKTuSB3WtAWHePIaV9afXewfFftcfuSoUd37l9UuUijfGlK
3PNGmchVoHt7pGFP3Rv6G3OdCQgSWyPXBlAc5IxLW+vkd6AW7cbYGKVSmBvrHxL++k9Ff/5D4M8P
6pH7Nz/E/z7SjcUKsNgCuh8WgbCv08UxAHcAWvEDu4FyX6Hc8eOL7etxnHZsT8xB7x3ddPIx7Gfm
7y9swHvzyRhnL2BrEmYFJB1wDIOydmByA8XSNmeQaarbKa1gROzwclSgbwpTfKiDRj3Qy2nYS1nV
WkvQSMY41ojVJhUul5HBpRpu03k0XpPcTfMN0z/WQNIr1W3OTIgdRth+dXXcaq4lK3oEh2g0a9t3
8aHQhSevkVvl5Z1BoIFYl81sXvQ4eeOuMPwpWnNf1EAoZFWd5kwkB2pKY5tq347XmIdm5tUJe2zb
6Ig3SiFhrtzWsz9RUIMSiMv40iZze/HaNNjKsQH/kYhq2vMLmLfa7N1tyQ6Hlq1goj1XzT1J0gjS
AJcM6HoE0YEObOtiJULRQUrKyKYOPFQvDQAvOgQaWkw0CjyoIWAJmoIxgByxmYFasyXshTGxsEb2
8nEY/eqeOWm89xnIJmJ0L2E2xs9R0ahzUzSEY7dk833874X471yI6EUXi8O/vhBv39Pq229Dzh//
4s+b0AOWa3tcgbblYsHgCPtrzOmTFhaYvsPA8qc85qdkBmQv9mkr+MsQ/deUE8U5QV4+9mlT4MSw
oOX+B8qZv+/HgyXOlNuQweky5fSWIeivovIQFhK5LZqwTSr+rTvfIuv65Wnc/2Bh/7rk/r9fYqkD
2DSHy17fvc5Zf3mJaBoKYnZDfcDlzMYI/yeBJYHHI/3rmf9/vMryW/zyKlxWSrkJr+JXn3rjU62+
Sfd/m7vyI35BfTvY2X97I38TGflp7VB88hKDfvDNhzndtPrzP78LvD7LT/ntVQJmHw4tCYoKR6BZ
+P2N9IUBbGhsu4NrVN2X2vcA4KbmZG39iZd2I2hLYGsilIdDdLJZj+1Ub6stJQSuSjVO+7Tpulcr
0baASNhnG9yVD7A6R3fDkIRcE+Jld3h/zY0t1QgFNoqe6JWGZOWTaElhEyj6Cj87997ow71sPkEU
gVMT9NySYjwMsG4ZYSXgUanUWLD4yW3RNPMqb4d65bGwPeM6zY6JWfhnk6n0R6NEv4yrfU5uzdbw
zky9mLiZRr9NDBesyXJ7ALIB5slodLgZwlK/wFErNkmTED/gt188q/RPUUqkLg66cdMjLto7Vn/j
5JZ8UdXsPOA1FHtj8Asswl12xJWHXnQQzo7oH0oi1YjbwMSyS/YJ3kZLjY+2L/kheSBvfJ3NmL0D
a2YO0ovbiOv/UGeEWsX1kDxE2Th9CSUQmVHbZGJ4kcJkMTJBNlL9bdFWvSUNBJANAT76xUPVZcN0
Ed+6ThkF8TqO/G60DqBogk/lKwoAsraUJ52HkQEoWAEesOsg2Wb5S/I0eexrb3Y9xkeRBG8Z2ZKZ
Eb0zF5uPF4BYB4bq0qdTzYw7PKffZE/3Os1y+Jpp9eJo61uIv+KjshAFO4ORvkkiV4/mjNx91SWt
YD/mfEMI1oWrZGr1IWuZCGdFwx/BjaD1DiY/r1T8Hpny81MZuv1rakB8JAHCP5cM62+bcoq2ttsx
RKdzRUhMkkhc2eMm7Jpux/TN3DP2xEvlel6MCGOOWOnNZrbWRRCf3NmxDgz6eQFLs9FvM7nH9Jgf
Mjcbnyg2hyeJKHatuxALeg715aGImQMgp8tPoMwBrhigGVhTOpcg5HHilRfRpuwaa0Ot79/JiaSw
Y2Z55a4pyFyg0k1BQw+IbR4Zm8YPc5yaT1k15GqFW9K9WAXm3ySOzb2g7P0c+Xjz+JQY0Z01hZBj
c4LqhmUmhkAiipzLnJDYMsfIEfDIOCconO1Na/jiUZR6PHrE/t5Hhm3sGeHY9z45yDeT45JT0eoH
ouR7BhXuaB6GpPWsY9tJBluDQtUM9CH6LGH3MO+fakkhMhj7ek6C706WB98hHMt1D9fm3CGi+JzQ
42zjoXVgaSHYBHgjQ5jl4fI8IlTkG6HV14LyK1v3oyq2LP/Ng+jFfCBI2rqB3Og8m8git9EcIM0l
l1rsA1x1e5cB8ltgRSMjWzd5MMvWPIzImzF1D4p4DD9Ft1HSRn4RORaOlvibu4HN8XtHLOBtNcTh
haGu/VyEkpA5Bt/s+lvhnicrnu/tMdc7hpvBPbvq6n0mDOOhm/GHqyyRd4pcsBuh/HmRTLjnnLTY
vWhdwtdn6T01jBs3Us/IBiYjGNeuafECLa6ZBDo0VM1OmyTGArfKCeX2PHeT4iFhNzSZ3x382OUq
odB/arsxo4b0+oMYOYQI3+v3fDTcjUKqtWtweO9lTYD3pm/SfsOtwtDMdNpzMXnMNpO6RUdplcyV
yHniZ7qAAkhn9Rmq+5U+8dvGeLprfZrzuT2zN5vXhRul7TrzKjI/3DKjkaRi2DFb8jZwOMOjS2bm
DpFTjXZ62VEleYotxCNzZR0s6jSqBLmF5dQdjc4seBttMO8Y1Rhbmr2IZQnpLRjKJc9BkVO0shjF
3FdF136eWik5xsb8gVDhgPAkc15LToFPsG81EU++fwDnM37zzUrvrDhwz1YlMOGDCghWEIab9z6v
xWdWGSBLijCNvvfhULzOPdAllrT56fqfW5Xn4mdyiD5SqFEZkvrTZdKZuoC9ldsxyOt5y2f4isAL
No6IQdpeXzIly4jU5x4x3gAYt8fJLc3PeS77DySL9pvRxXmDwsimTmfncAt6OFtbfWw9OpWKPmZO
Ur+OaVnuZThUe9fVEfU8gBRQSvgiWjNcoxzJT149vDOpkMfAh5fCuJz4oCBC9sLQNefw7Ma7UJo8
virB19CJML31cmbdwpAAPGZRq0NthExqg0bYR4a06PLNAF0vDiyV4+Tw5LBxMq0PEmtotzKVpw/E
E3lPgr3Om+xH/ZDCyiDutwxSCBVBtfcnD3GKbgZeFhF8dFI6IDm5G8Y1UzLjGUL1NC26GwkuTYsb
tDjdcSjs5Gso+K/zIsND1nnuOcLZtI+BymzYUTH4JWg12FONdkeaxPx1ClmIVVXrPYWtZ2xdwG7r
gGHvPiaGdU22sD4gY2NlmfnqnhmAsbXFGK7rsGc6FyGRtmGPv4uyBcre8AFn8pqfNJ/otW86GEoc
s/pGzvdwtHoTU2zu6Vc+SPG9lxjxRWZDCJQcCK3n9CGJY021Dzrbe5MUpHI1EMZG8kJFinZPftbe
igx1L2WuH7Rhjt/oxI2XcsE2a4nYaxMY3p9/p1yq6Pts8ssqx552ptOIOzctjOcYz8E9G4P5BK9h
2BquSj9WQx9AMBnhvbOG/WAPs/Nh7AznQ+Y28x03lbdL2sTYzOS8bQwE1wefPIFbDX/iEYButbW6
qqQLt9Xd9alLFwZC3QfBxVoQbFVVc/H12Zk4OwEPP4GLB9R3DeDH3Cm4YGe/TaptFRJLV84SazKQ
wDXKO2IM2InNp8Gai0sUiPgo2Ank6+tnWYNXeQgNJ6CuCIgKB4p15/dVtC0LP4agxQJo5dLsXsw2
K4+Qub23MGKPJyPTcaFccBkSYsGfX7f6NocOcCtYZyD2Cm3iueY84QgU4jEx0s+AfdQdhwKUGuJA
L36nNdlLLmbruW/mV5IEXIABGjufxiqy80UOohnLHdxIP7uARmMYblv5yRlK95xNmtW5P0EW6hpF
/HrP1Q2AGW9dWxs2C+7Sp68nUheAsoA2zd00HsOOLRhDsr65BWSBcrxCbPc81KraDRw41ECVz37e
sSRp3Hpcd4M3kk5W6Nt5gsXbRt60sy1BWhgRd8Zzb5p451hUUTE7OFaLkWPDjHu+msQIIZzqUwxa
wbhoAZux2ktRFa/mwMepbDRldZiKz2bszLdOiYLAmSbzM4g7a8A+WNuMe3rsrz1fTKYW1kmrST90
ue+fPCZj20DOHQZA0sbYKYxNuypDj6G5HBcNbwUY/cH0FN95wy4IpY/4P88O+Y0Stnky3gzSwKnG
f3qf2Sw64G620QHZmLNPTVsf2VgQxUpS0PKOLn6irDX5WMmd0KkF7iYtn+Ald1syGaqtbhJjL92a
sGTbna1PczUHxC9W7RO+I1Kb8tQ4x9F4PyACAV+BaG7KjG9BK/2dcKo3e4BBWoA/v+Ft5JvCrDk5
3RgjexB007YuIEVFUTqCjIrkGaZgN+BCBZVDhZicGk1MpUzme6tZFHe9V37xK+NLr92LsnqoG2oq
l7qtPbJQIp9Cp89Tneh1FxjxgdNqz4MYobkQ+xdHLO7DPHgDZNOxcrdr9s89IejBtBid7U5uzEAa
R+DaMJ78hvfL8tKhqrLgKOFMu1UNcUsVtJccQOTWSwuSLpH6DvuFG/ApHkb3kCsB2GMeiCEjULR+
anDSaBaZZtuvcE6ck8xr7qsqb94gYFUrbvWSdVIzfGlG33vyBSriTRE0+REsvSYiMsz3ACqHg8Ec
C2FM3Dr3TtDp+wwgzVODWW87loOPQlp15cbTnrdVPuSgqCMZsvg/7J1Hc+NKloX/ykTvEQEP5KI3
BA1I+ZKrqg1CKgPvEh6/fj6oezpKFEeMmvUs+i3ei1YSQCKRee853wGjusX4wJFczeIDYpWpo2pF
tIyc8wtSsgwfZYkl5HooQ2Ootm43pulFU7yyvde+jXbhXmmia1VP6kTq9nUC3Fsvu+E2mKdy306R
2CVK1Gxbt+NVzHOw2imdWhpbkqe4pmH3akZmDaQGP+6NqbXJXWG1oIviSX6zJfsrpCWRfg1Xpv2G
xsU5kExWPAeTowarGvf4k7p8IW0trwiNdiOKs0V3EcWueRXlTfuMHMPyseUNB7zq/QUZlemP1kwC
XMQaD5cORHDbQ6v6mTc4n8kkNl9IaC7pxSKlOWipbl6CsQNOqHDARsFbmJx1GzBSE2S3RwO17yYN
LC1dwRWNrktl+pX2jvtVL52FdjUTHBOiFrWaLPES4Fwoa6KZT2FEguiqgye5tifJSpZkiU+YCuE1
tqPyePnaHiZOFVDVjRlNpkv8UDWv6T0+KFkMmZXqe8gqT4mP2OFCADJKtepZGokB5zwb4hW2qRoN
BDvjXSns/KFM8/KynTN9L2XAVmoT5lMQ0tJNK7cjUaUZlNznuGQrv6Y262jz0aPQOtt9ahVwupw7
3R2nmGGlK3HwmBlKe8lHMbtlq5i8jJpRPiZ1Wn+tOuJ3dpVC6xPJaR1T9i8XuCNAVhI6lba4Mw1t
KABtxeP3VNrgejoQHode736Fgzug83a1y1G4xYXBzvZHge2I7CRyUmwlvZ7LHkEL0loMACn8rYFH
dZn2FU5IepzttYkK/DphM7QCHZI0xFVb9ZUMbWIRJPZa3v+f2FjpzvNNg6dLs3ZlBC1homXT3aaI
9NYm7KCnUTYGHy5H22homu+ayihf4fJ8N5Nm+G5O4/0MJNvcOjZtVqUYNIh6Myt7pSy4pyUvQzjo
26Koll8sNSM+OQClb0edisStJy+EGY9UoDR3UWTjfEjh864I+HP2EThLH7Rr+IrsDtQJKyEddQV9
Vjg6Dxx1+J6A0v++5BCuq1A8myNRrmpFSiB/RQc0Wrf3Zmz+dDJX3vRlO72Gc0D0d4rcg/s2JVeC
7I4dMTzcMar3O/RpI0kQgptiBM6z00fmQ9wTBp50S01c0gAaCvZUU0QckkU2Q2tE+i1nkCcW5PRm
rGb7gEcATe3Q2psqK4KXUmCAy+TgkhpjJNc2JGf60mRHr3QCCH0khfRa+qH4UiCqYoer3OV53u5b
d8rvglixb51aDRHJ2fo16dHGby3ETF0mQ7WR6JkPAR7/G2wr0WVmpda9WSWC7GjyKJTuW0J2dBAh
uM5Zbjc9RpD13I7qXRB0Nub0qvPKNi13uAGy+5YVF1s6OgqIWepOZt1D2AFmHR3VPhhhOe3aQX6P
ROH4CSG63sBGkOQPR/FJQ+wv2co5h8EE6YA/IWX/Wxa/uzbp4zWunlejTtCZuy3ZHeRIRulriV9B
vdCqLrjAu5GsqZYMTLZGf+h0ZZw84vwscR1nBG9Bd6yJ5DQk8dDbuhhnjmaRFNfFJDO8dYJ4CmsS
uwjS5LqihPVg682vcWy7lTqzVZG1IQ/qPPxwLE4NVkbjkE0Vh6S6x2FCROI+j4W2AB18BSXzgfcf
y0VuP+Uhe2MzgCTBrjBbU+740ehxt0b6SAZawvd1GgZYV/aLwxFkJILGkuodeyibyhllIqVztR+m
yIYLs7SMjV0bFFJwcNxgsPN7oQS/Ixift5aq6HfNKH7Xo6k8hbx6j7ruyGgNVwqThJCw+CBjLAx1
q9ypYuxQ6EFFJGYWLm9BBeDzQujHKigpKIQJClieGLico1qrjR6LXERX+oNJ/a5XKMbFVcmcrHec
x/Pd56N9KFET3Kk6QjNUFzeUvdha/yweO6M1sk9ypD+V5KmpDf+Ic2fcZGGVrf9+KE034DRZuL5Y
+t4PpTY2EcCjxoVFbvgwJiafjKTXrtQWvMTnQy097PeVZHTSOsF/CKkFIx7dQ/Jf1YloSukXsugu
06xdcmQTtpxMXhqsY77DXj79bZGcW6lrAK2owyFcPh6UZD5NV6CV+xOpWiv4l3ylJSU7zqTnHGwf
VNDLUIQhgLvCXIjG4P2tTFn856pSpE9kD7HbmG0TFjc32ac6FU2oxvVtNWlUELM5uuoy6CSf399l
VhzfX90gMUIgbwBaezRrptCsIjUNG9/NFQrwBRdo18Pj54MsF3E8CNY91bXobqq0Bd5f5KjxuWiF
Lv22pXTrYG+KV6FjBNeZrs7+PNGO7zuQEHAD5fbzoU/NH0O30UngnxIYON8PDfpr1EhekUuRZNpU
BjED1FUoBDuKCkjdCNmBTRHBKJ8Pe+rVx8nN3pwni1TKeD+s0Qi7dGKGdeokAyvbP4KxmP3QZtYK
XGj/hwmLpgSvC+5Q9w3E9ue7D8FQ1RR3YrimtR5I3dlx+EeUCPTmzCqjLTfsw7PE7WlyAmehUY9v
6Dz/+1naczf8aN7m5hR0P+FrjHgJM41sCxs+mjurLxE5M347UIr//O6emrSIaxDSILQxoQO/v7up
Y7TQ21SgvU5o3lnoRq+qkCX281FOLag8wqV9hSVfP/bjm2SpdWbO0vO2CvQg4j0CmsaVZibVmed3
6oJMlcg+06Aqj6346IJGWKQTYmd/GGr0y0P53XbL759fzrkxjlbS2Gp1mw+19DW9JU8Fxqab330+
xMnJwfxDKM9UtIiOeX8deK7cQeqt9Cv2rldhp+oHvcTZN/dD/DVSWGHqolcXTAf+TCDHezCy51a0
j6+eoaLSMNBmwTtlor7/DaZVdYZSCkBRGh7BFgW+BwakJo8rqfdpJYr15xf98b4yHpBwbNCWrjnH
mO6aY5U7VUbt5wUxzqY93SGid85sJT7ORch8i4mI0u4Sgnu0gooQOQUZNbUPYAWDQwVpt6z6Syeh
l/H55ZwYiYsgCxpBqGWYztE0ERh552lyS5+lrWDT0lyQO/NQyeTp83FOPCbNMXVV41mxcr1lBf3R
67arPDWEdEp/huwssxfFzRBpFV5cB4fPR/roNHKxNf0x1NFyQY3KxgLLUF0vKNwXJgF5g9O+ZYx0
m7ov5scJ8dwOWmUg17XZumtV1sE3XP/Kpp3Jd0vo/u70hjJaLg0K4FB/04PlJhVuHeKMwiGar4KM
c6BZwynuQrpFnKvaTaYTenNw+my8HsqOCvaEGdGjzIaw347nMxdqwik4Wpv5gtPXw1dmacYHqiV4
J8UQRcc9baL2GR2eeq317hdSy+OXHIfrocuIU5dZ8E2Oabh1AAHTs7b3tg0Wy6Izq9VV6undYx5w
MGoxixdl/qUa3KsZk+kqL9N602A8xdUPKS4ALYwPZShRAPeAv5RE6bwRlKZPb3tYt62re4yTrCnh
OZepiZYhSdFHjazXaxEO3uygmSKAJhPcLR2pNIFp6quDePnMR+vjJsBEEeo4GntJcJbHr6hdN0CG
7Lrw6YW91GP74kbVjWkoWyMvN6ROln/95QAuClnU0vhGses5elsBthck/kyFj49hubHXg57uh7bY
fz6xP+4dGYatMbMbpKItjoYxxzQy5AiMl07pXVXFiwva/VGnj5y0rqi6gPXWv4eyuPx82GOII5Fj
y7gsRdxR3l/7eJWv8hpfiFX4eTnNXyNYbODVTeUONQehtxSGOJrWVh5sWsgn6wynHie4goyoWu/3
Fq1sKxmUvaF2hJe2ZuEFdD9WyVTt2NRzTBPJq6XhzhhG6t2pM4dr0WrkdGEhWodacE8CcOO5swWI
rU1MNIUgDTcJv2fdZtUvhA3aLVRHlP0jeHpkS/z7fLa8qGmTjaM4+lNtWOcexcdVE7cm9CdHsNfk
gSyP6o/VLEY5lxcpRDy1fZmIbFtNg7pLMbicmVkfPzbvxjn2c2IpB3YohsJ3rUVGHuF2w+e4+fwB
f1yal0Ec1n+dTaX9Bir642LUGkd6TVilz86KPE489o2K6SbFjhQ10xll1cnBliw4nU8oxOCjxdmW
Fb2njHdFiWycleW8681qS5uDhmEbn7l9pxYCm28bRBZ0aTSo3z+mbJoMspDbwodkdKc3DikuwfRc
ZvJXG3Mwj+wzd/IDumV5VZaDnTBNzsnO8WZkbqqM+wt+LBmzCCmTrkGcl8Ne54OzLg0lwoNXt95Y
CeNLrAaRP4V07sMyBgAXQgARpTk9Ouhe0CAE0JHO3I9T05bnbGC/hQkrjhdGUDEN2H2R+0Nd/TJE
+ATm4j4zKJZ8PqNOjkP8AGoOKhMfDoBNr0xRRdHZb5qsOkxZ+1JMyrAuO/nw+UAfT5rcbx4u+8/l
H2+ZKn9MXWMQyBRoMPgtwoiooY8zFHcS8n/iajdZWT/kmbj4fMhTE/iPIRc/+Z+vfjKbGYVoNfcx
Ue/wsP0SZkYH1z7Isj+zC/w4FL4C9HQoMUEE6s4yvf+4uoA0BU7RE9/3BIBnrwljz+5l9MNEYmck
UXDwP7+2j7fTIH9mmbsYDEAa6e8HrNGF90OVl75wW1yOcZlvaswwl7ZRtTswLu1lRAvxAbdqeOau
fpwxBlUJdXHHI1n8UDuTIfLpqLMLn3bN9LWH5PcdtbD2AM47+fXXF4lQkV01NXv+d1wCQd9D3XTq
+Jz1ku4+TnlJ2xH3hJIUcm83aex6DUIxoD46zefPBz9xndQH+HyrIDqoBB3NHoeYLtonReE3QRlj
dCgeQpgiZNFP8u/fwWWzrTkoZSE6LziCPycPvYwmxNaR+SyMz9NUDGvdRdUtM8M4s936OE05NrPA
IvClivZhf1DhGu/CvsvQx3XDGks/MYbJzTBY9pYGys+/vYEmBD4WMHZ4qKGOl7CQbJvCzGouy8oN
X6mmgp0DRlOvyZa83c8HO3VlWNg4gLG/Y8jj9wGNI5/cnCtTzIfIUJ7r2f2ZjMZDONhnztInPlUq
ZjnL5tI4uxzvISEKo79XEBQaVbYx6PmJ0iI9MOvBhxT9gXbbuarK6RHfvEt8IFnS3k8QxawcEuIZ
sdb6Qyqql3LSHgxJEl4XgWqKOv3MRvLj3DdVCkikW/LpZ8SjGWmxq7BJQEp9pev4KPS+aabgmdUz
w5zYMzEMJU6DBFVu5vLf/1g1e1cd45g/7UPIVh4UB6NmNXKy+3xqfFwquRg2wyAnFhza8WdgxFME
A1lLfWnwsaZj4WVJ99sp7DuSihCGETprTOWZVVL/eOJjVBYOh+MGMWXHW3GIuK2gfJn6Auz/asgE
7aSiSuerUaA2I6gIXM8Ef4KNlUn6HyiECvmG6uzasQ73GXqoLaDoh3myFpBXmq7DquKQuxxv61K3
LpB3249CH2w/bBvrzK8/+WAW4jyiFuiSxw8GaV2U0aEnpHxAWpRMIjkoI/26zx/MyVmGP4DWCCiW
D6WT3Kz5jIRlRhSDgyO07H011R5cpz13+mYavS+M8iiIMuTUZ9s2tdj308xyMqOo6oKFaCT/K1WC
CDqFOm4/v5pTK5DNFoDtMsVl7t37UeZE1cewU1JEsA0MEQh2iDu7dsPG6rVPcJl+Ptypm8clsXFz
IOUQAvB+OBfWFS52XtEpDX4u907G9l0ug+fPhzn18iwgGAdrCQWu42k8NuDi55KXJ4st9zaFrLnS
AusnooFyK0PL/TFkVbKn69Wc+VSdWvMwRCybdDo+H4p3tABVoL596ofAGNpCeZmBeVbJU5XM9zz9
M6OdmvCU7zjpmIs39PhuZlyjY1dN6ldhle5y23LuBj1R1p/fTO3UHOEmOjqfIwO7ztG6Kjp97Cxa
x77bDepTHKnlFg49uurE6DM0Js7wmGhu6XVl29/UU5FeW5lj7CIXb8I8VeS3hZCZtToARDK46Aq7
LjlXpX0zpx6/LqTPL/kwPHX2P+9nlgwa1RrynK/NaNLubusXrRWlhzq62ceO+wwXH6Ai4PHLrDDi
pxTX6D4Q5fcIZSKs//ZQDbm5pxsiViSQVCsRcR2f38gT9xFtFltQxzHEsj98/xMzh98Qj2y3B1iR
1ay1W7XCFBBk6DCnl8/HOjERtTevDBRNGp3H2xhdg2ljui1b+0D7qVI4X+eW+tJMHB0doqdhZ9vt
mR3GiZdOo35jq4wGqfH489vLbBplWHJ5ifU1ikPF01Gf0o+X88ogWuuxlkO9RlXY+39/rZpGN47O
ChvE45XSxHEZS7cp/aU0VpNzQHc1AyFpE+uRhk8T4cZ/v29jwKWcDXSKXM2jJ8m7MrSNWZe+ooa1
N2k96rrCaO+GmrMvIORz451YNhmPPZTBh43N4tEbmAfShEjLrR37kA68SWaaWpf12sDZcebSTg4l
VGFAP1XpVx99ECqHXK684IimibK4BTIzr6TT2hdxp2lnlq9Tc9TghVr8dEvH+mj32yPtLmYq3H6T
dw9dVP6yrJqERZ5fHNZ3bgdY/fOJcuraDKHqugW6jB3i0WPTRjQjejMX/qzPaNWd4Yvs5Lqinn1m
oBMLM61hlcodHVTsiMsP+WOLWM0DSuaAI2AWWmAhx5071w9nrsXgbxwteO/GOJoTAptyYpqMgTFN
W0GsqA6N1Vhf9M4OyP4EpxqHKibaQVbrxk7Cx3KQmM4tNEcgdlOaWB2q/iJGsWTib1cMTcOdPWVE
VLXyQLhCdKcLslyKqQ++BVTVdnmDyJjT7eRh58Cpa7k029VxvLU0iecEiof2ZcaP/aQWGkGLZd7I
ndrXgeAANYY3gCrYHZZxvCrgIN1EoxPtNNlM+8zCatAbUX7VK7L33VQ8xGXaeNzhdJvT84DViODd
R2Sfr8phrjZBF1mYXtLhsjQNsh5j0vs+v73GqcnJl5wmGa8de4ij70m7QHDm0cmpwOrTdyInfw+x
IJIk01yPY2/oKZUSA49Ti01cL14DRVuUmRLRn+ibZ5PN6HNQu43f6TgWcLXhM4paeU/sTbl2iywD
Uta429EZ3CfXoqBMqnSDYEppRhBpy5Gw1H+rg46dpSRtslK/J2V3jRSn2kCF+RW7/UBsrxFvSHLX
7ytE19wkXM6f34ZTd0EsTl22hpT0jhuwsFkbwmoq3hhCWud21lataj5blXXBWRNy6TScGfDUN3Jx
ZiGUcTikHt/2KtGIy2US+XEtCNOoOlltyblx1wYRqwGsUDTpn1/im3bi6EVCMQMhX6eSyOf56EmH
Cth2281y385n4UVDZ9+bkdZ7BSTsi6jMsqdKz12SPFBOvtkF3Ijw+Lyb202LpG+nDOQgnbkNJ+47
fZjFAi0wBn7YKgh7cskQMTI/FaG5ieRkXxURr9uUlM1zIgkPRhf5euZGnDj8oUpgt7wUtAnT0t+v
WuFozVXQU+xs5gApqxGaWwSpxrYJZLMjec9YMVNQTlrZRkDS8yZqWTgvzH8Hkb+L+frTHG2cWKcX
XzhyDFLHKFAe/RAVaYSdt3GObzkxKCktvobYyOY7tNWFdcGdcfZtghoZixX5yhmHb00hfn4Vy6i/
HUgk2E5ToH6NTBYsvZ3VrywnxS4amFI4pogTGoW1Q5L/a0KMTTW734A0jzZohc21VIrWj+zaIae3
c9ZueKGXqXGfGsV4w2uLCW3iRXiO3E4cMtX5pnZTemZDc+r6qRziQXeWDv3xhptjSpI1rcH1Exl6
HyFL80dgyM+xpkRn1rlTQyG8RmuAG52K+tHnnmJdXUN/y31RkvRT1e7i5hur9CCiLHw+M8GW53b8
pi2nZoOvPh2C421TodhZN+QxfdPeAr0N3WHC7DWb2i6oyn5dOJl2oZVqcNuO+nCt60p4p7eKIL86
q3ZEAsp/HeX/H1N7DlPLosJ24j8ogfVL+/JfkGnjdrp+yX/98x+XZRc38UvBoeNf/3r/85//4MEt
/6//4dS6JBmwanL0RGzBcYGH/W9SrSD1xHRclhF3aY6/lUj+zXAwADVQaVA5lXNCEHxS/sNw0PmD
TAnmPHszqnjir+LujaMtGNtlUk/ooNJYBhvzQbaDKWPoyhiqiAWIi9U7UbQvaoTtC5p1tS3rxG1X
VuWor43iBA9OJPBp5kVwUGQcHBp4hmQGOhgMVbvYpW/rSK+xwrjwRx9cki7XTlRZ8aZUW+FpEa5O
rVC6X4nU8QQQ6/tk6gRLvRkbYXcFhI+Z0QiI3unXi+zZ00JVDrs2XygTNcF3XdGNf3fc5A6Y+HGW
PuHSaeFM/H45T4BPAt6tqj3ozPGWhD42KVMHmaZtl+vid/8xRW7/9R7/uWwfLSVv43H6RllLXYdO
/tHuWsd3MoZpWu0HRWJpCzMU/QMLd4C58/ORjr6Oy0iUVmjMaZCIEQ4fXdlMaBOKFDsj3BEJDdiY
aaG2KzvXCOL7Xs/M3RQlwZfPBz1xeRR1oHUg/lxqV8t//2NPT6GsGXJomvvOxo9IRVYmSx/bsdbd
uDRz/n40yi00c9Ey2R+K56FwQQXlCbnO6mClV7DqZwAJhDXedJk4c5Q4ltkt95OK79J05JOzfHPf
XxranSzKSSPY19GYEXAXwSZe811go8pWYxVN0XjTyU67HJq09+eMPIJN3GCl+NtrXvS8i3AZwrXz
QSqWaY0z5R0EzJoeFuDAZsJLEwbBg7CrUj0z2Mc5ZEE6Y4e5NOk4ox3t+iTgX845drKvtHm+K13Z
rFuFN7iKqjTaT29eSKfAYXdm3I/TCEqNvVQrbJs903F3MCW0KA5tqo8FNgcgozzNweg4IhRxl/zd
WDB0+Pu0QlQWVXoJxx93M1YGCEki3sfwibHcTOCUKlVOF+E0GI+fP7yj9fZtLI7V3EoXizM16/dz
KMlbW5GwKPegCAZA+9APD1ls9Oc2h8cipeWaLMoFwmaRYbrq78dB79ZIuxzjfaBafQKdET4qEKmC
7LnesO6jOM4R4sHvYmcBEDvYQI6N/pUk/L9uUI/mznKtEJBY6DSKouR7Hc0dYLNpXFstv6FfnC1a
X6Nbm5XwKjAmYq0gBnDiNqYz6/nbLfxz+8SwNM+5cLSofEOPdTR9aEOrDJwYRlZgPMvEzg9oiKbr
KiminTSqAm+Tgjv47bjteECGpn4/2MX4U7OzWuLKFPkhDYrAD1Ulhx0T8A9a/2fqgKd+p8WDQXfM
7oAu0tHtSS0jGGZHUXyaaPbrNHWm9Po6EzyiDBSMX4BQIN41URwHquiQXqk9Zu+VUQTBvktL80K0
IkAd4BrXQrEbZ2v3UZlgMBROv/vbWbucrnASwI6HfXv8U1VRADbGhLjPBfZvLw3dMYXF2rSbz8c5
euuZMegAeGQUuRYlyfG3MVZ0borSxPtyKHGwxzOUgyItrYusMa37z8c6Xs7fBnMQOfB1tGD/H9dD
J5c6kEmpeV+Xkg6cG/RrIhkxIvOqkJBZhR5StulC60YHDlER7vCyt2duLEqA5U18P11BVlLXIMmK
B02D6f2bmslK0XkzAt/pBjntnUxnMW3FaFT7sKvmO8Ww1VeLnBgvjjtM6FMVUVaJSVRzV3auWhdN
2AcH0XXTLR5IfOYNVjXp1VnbxZ6e5vNVFi2e87jWv8yZEfzuocQ8UcGar0hcxv8paokLuR4BcuRA
PHqpsuA2+aB/sTooFHYE+6XVMHFGhTl1a7WKl3YuvvUpDDh2ZgC0b3KJAi8LJvV1JgLpqkEQMK/E
WAS/c1exqkOBdnFeFWQyI5LVzAb0e0Q1wHCWipiCZV1dAfUzXyIRaD+whBmPg2Hgfx+DPle8Bk/A
76xvzWGdt6MRbRo3ia5CgzfbtFhaNNnHryBxQsgKofUbUj4a2AIekgJeVnUh9KGU6bZqZJu7wVTZ
DBXO2Px0HXJeiqR2vrn1IN0v1KuYb7z9YbpNS8HwVSWVOxfF2sKI7pxvM1b19Uix4Qqoj75pLCwQ
4UQBfFPHQ0PY7oKR4Ig4XfGdyZ7qegJ1stxeGAPtRi8i9Q7JepQeytnJon2ghbZx0NU8uiI1JkcU
PUcJ5Py31arTpgvZzosqRRuV70WZMiNLddRUL6OlhUKn4t5Nlhs3nlTV6MEcY/O5A/JCRyFUi1sj
BSpDPYa/M0RxdGW3Vbhuagdog4qWESGxnMKdmEFPrUyLj0ISGsajW/SSvjWqsUNu6PEr8EJ9q8nS
fAGbrUAYxfosVwC15jtrANzttakcb6lfjjfxZPYRVBot/p6hMNiPs5Y90WExUVIs8zAfSjLSOpJ3
cZ/S41zPo8YGRsvJaSr6jLnk5O18FQ4TJayAoxf0xoV+klsKQRhkejXrLoIq4SVcANZ6cBH4gJlg
G7WJqpcIbwrZES6z10qJQ4PIOCI+jzgx2FapPNgAQ3mOC5ohVDJ8ki4FGuiY6xED/k2pZPW2pUbs
h8NcbmAfWd6klPIubKN4r7qyuCAMwvTiPIvXGDTVK82AaNLVqo0fxgoewtbZlCa889ou0quJ0bwg
sJybfHZ2KawarwZgulPjxPgG63JYVUjf1XIiKTvtjLWqjDMQIF33NLsAWTCWuYcWNEs97qr+JOL+
Jg4LyCSa2OJDNogKisoDHS3SIxTM3Wk+iFWdc1lZ6kovStNsPfVYSPE1E+Nhmd8kGRpXYR7fyLF1
Vz3JYOt+ck2PD46xter40Q7Qo0Pt0C8oXXlql1pe1QKpTEWueumsLTndZIyJCj1kLKIvTTS9ikp/
qTpISImSG+vJhherA7/dK6r7FRNxgJUBIY03jWhzg67Sv+eGeZgR+qx6PSZQCM9satoPfR9ckF0W
fm0rfd5EOLIPUZazAJvLHinXp2s7Noyrdm7qO7Idm4PSW+l6nu1LTOOTW63MPHEakS6LSNj8AldW
+ZB3ko7csiVeaAqN5KCVJoyVQAmdy87K+EFlZhoq3DZ9frRm09iOQ0bvte11cdFqWn3DRsmM1gM6
9nXqqNmjrKbwsdPV4X4qLfYPZVO54arq5+kKvbSxWdwOW4i9aJPyWO7HzB73Ea0uBmUXjW1d/eJa
w/DFGaZpY8xdt1m+PyRK4ylBpQra5RaU5+w5vGnZnggWtgJ6CkNMTuxFFrhekRY2FDnViVmKCtLX
TPgWKycUjl8lHH065h8ykqnYilmF3T0g6vVgm+U3EEeenGyu19oQLxFQs5t4YQbrY93aqZlsYU2R
ZU2TfFskqXVLchYGd6cLn9skHC6Mbly3cTAckqGDOKu7g/huJCMRcVahN7HXs07uCyGjA0HKMb7w
gYr+jHUesip7h2TtZMpdNklnk0/ya1GS6azmBJ53ZuH+blHUkwdfaPqDnlvOM0gUMe9UK1a8qRuI
rCs79mPFWPvVPIvrUantO5mRvAHMo/KUtnZ8TtDCF6MGBa/SOvmrQmy3qYZkOtStceXAGboSgRyg
KAvtErZ0wRamcHYw/8RdFtTAI4hmMzj8J5FJmUJqD0qsUH1oM3HgoYp7xB6kfUUBNJlC6c0fI9DW
O6dVqBoQJ7d2AcquXZspQGR5tYLDYO0GR8m2NlnGtIti8zGdmvIWNQ/4s0BL9kFS61fcwXhtYMav
+0Db9ZbFxBbFFdmXqhfkQr8N68zySSswLkUYNisJGeU+sGptnbtDucvUudpmc+O+dC2XxEJTe31D
aAmMplISXhZYYLv6Qs9W+MKoAKNlfirUkYg61S1v1Dlg2y+M0l5VDaLLzZQiV1rFSZ/tsrRwvlmp
TRGnrMOLUbHccg2+LttPsKx+tRzHL1tj6O5aUxndlVHRzAFIXfBNX0LiFtK6dc2JvdqlueNwANDK
Q6bB82r7FkxPkme3lW21N24zjr5RN5HwYuH6OQGL+8EtlBVyUPeirMfgKukKd2eGff6aFqRBbPCS
1c94g+utbSfpb2HlMdhoh4gZ3A7UkpJMPjkNZET+9JInSRyCsGadUIRg7l9UIhaABSkN9qGKkjQf
V7X1YCxZC4Oru0CYHntqSbqQ1cWbNNd/DIqo1nFXAS4h76nZFLjqr4gjKV8devQQfFCSuJjcbwHK
z7vJgm9NkEh7S7m8eU3gIx2SmnJ4xiIg05D8QTgeqfUIMgws0Q8bm7cJ26MYo9+RMtVeGzcZ4bxm
W3BMapXftR0BobEq/ToerO4RkF//asrY/RZ2Qhb00wURI6M6uxafvQnAU+5REUHXb5vTARyACDe5
3T9PLcHlUCzrNfQ74DxJvSSxDKnmsYsiwEmfHHwcNVUNvQ72FqnFBr+qHX2zSNQrc4izdYYFCRyN
Pk25l3Ud3WAWJ6gnWlKPvhYM7YGww6pbt8iHWM6mObyHQAfCbrT0bm+Jkc+IRnWIeUnKgBc2s/IA
KVmFz1Py3Pgo7Ax1UZjMMWgczkZL2kO2LpScuyDd+DuUE6YyFSX1KnIqvVg5uhx9hBbBEwBM40XR
K+W3bnfDJeGG4YNVzImnlfzZ0RzFo1bAG9I7S34PKjNmOwngjUShRzbGWGYCW0UFUX+xjaeQDBqa
FyyvtNKYVPmTahWkcrrKF6eH2JaA6vMQV25NAlRWsiBIHep6vhrZnKwdJwLKXshw5XLGJt/cLMk6
jl/TTI8KDxuMjayzLflUhijWFB0i+PCrnQ2BdVeYXi11sU1pO3lpbh/0Jrc8DWk0gIgOZAgkA2SQ
ytoJmM4q1NaLycp33ay9zBV/OCpBuqAgIeY4n7Kd2cbjfW3rEdYyN7xKiv43uGlcZMQrr+y+1w8x
hd1NQzXrEBPU6AuV8gB804n3WXa7Klpweq0mVpzx+eqwEQLTVZqbRsT1Nkfacam2Y3KZauMutcOF
NxKNHj1se90O480Ain8VmaPtWxI+lJr3LkeTap2RL8oHogxuR61RSQZJgBC1za9WKjAMFyeKZsfl
Kq/Fdzkp+VYijbpoK2oHM87VZGjuMJq+xLYJiTaa2KcA0sibQ67U34Z8vunS4EDO/GMlgyuWXApG
WUzOg5x/J3X4BGj4C7nTO0JxK69IshehxsNuTilSOq141Sy1gR0admuhaNZjmcVyo5b66yg0Nlag
iMlW1feZDTYK5T5IlepijBwYN6H9I+8Reeo5Ve2VpXAiCIeue56N+cfYx3s76QjRcrJ48ODrh88q
qnAUI9KFfCbJ8pjg/cRlbOy0edPX8ID6kZZ4G11a9SOwwI6gs1psoia+BzgOY24QqSfrvvuq6NLd
jAPBcT1nmMuuk4pPvOPymk/qwTJi5yuExIKAjNp21000yH2M9ueGWLTlOOGIaNyVA5mupGTDGJs1
e75se0uR2ygfvyw5zP/N3pltx21c4fqJ4IXCjNuem2w2B5GU6BssipQwDwWgMD39+aqlHFuSj7Vy
rpNkOU4sshtAoWrvf//Du+n5s3FlNAWADl5PHQ6t1mCN9jVpPpoNKfEGviusVv8+S+bZ6wzoPAJc
kH13jJlChsQJ5cTZgGo6Wb8ys0LsRBcnNQat7njwbTxYzr3q/XTTGXVGGmQIaOp1Iy3nxWdQWdFL
EOcYSOIpyOqGdam9MwMaEQjxRQKlvqYtiln2uJuwvYAz6ZnGXKvo5SILjQxJj6GptVm6TGfJGfcc
yGi+MRyXLjnFva2fpWeeM8NNhy3sXtoO5bMt4UhkryuhuxORTsOXbLHG28ybxckUmFKKuM2vEiwY
X+LSAOSOHR8r187toY61dCIYzpmf6xpn35s+GXTLG/ZYtyVu031ElE3pUBjo9rGGbI/U9vxqwyPg
NKlp0ImbITLQF3grmqPX/+kVpbVJW8q/lZM0d267rHMxVMeLsaV25T1aOUqJtLOxoUtcQIGOJj9Q
PhiBntRcPm9oHGM71157jDwcUukThj0MufLT5Y+EQWk9mB5tf+0zs4f/vBwsO8fKs+zpwaYWqz7G
X5jPLJQ93xxFg6XyPoQ5N5O5MhYoSS93F6C4KSbGKBO8DJWDGxdl2pirNMVBzAj5imUy4q654Cbp
lcTC1mnPBaSkAuD4My33HcDLHcw48akkwpXSPmewGcEYOrZuNd3lE/XuYiTEz+YK4nUzzwi6TK7L
KcHCG5e2Tw5JU6/dOZN7SjV6e6UKv90MeTTi77WAigBeshkoQXdituEG4Y2LWj0yy5L1by7GKazj
Bnaqke5NjHaSIFiuw7btrJXAiAtIRhI+hIvdggdrPo7OqZC9eXbF6F7XGW6AeNYBXkXwui/rzkix
SoUvjE/mAjmiaBnWJ33n0SZNhv5+SRN9NXBgBRShzbovlL4nBbaePiEA9zyr6Vz7A7cNkHLtiGa5
uZio1hqK61S13PhzNN5emCB1TSy557ACesfkd4eD/oXa+TO2GPCHyRBsmoK8st5vYM6QHP2pNPkR
EpXao1/pf1r33C2Bt+y8FjbGugO/aEtgHZm5uOhCHBCuk23yPke/07HuE2y9T8IHZ91cgCdhWNHX
RTiAShmryV74pdlk1K9AiZW94TgfnnocbU4XV9IhiepXYiOmuxk3w2ZFoAYP01bMJsc+uooaUb/m
OG0cQzlhBjl3Q2GigS5wZqY54Aor6CtqFcXkfqwDLWcOq9Q60be0H/tQ397SLPIrVXObhq62HjCA
yqi0+OJWh6dluZTNqwxSPnpS3XBV9HN0hNXEglSB0b0uM67eJohcL/k5Upnzazbfz8rthnUiUlqP
vnmrIBGs8boN9t1AlLEJj3Pf9xEv+8QbGKk5/OZW2rdDv41rbGltIHBcsWGPtSMmYbBsF4HPuSVu
K9sjbB62Rbrq6XzcTcV2uEe+AvjBWDTYuHoVjA3QnNu4QArwk4Y1tuT0hCOygivPX8zPsYkTL6NI
oybzquGdrls32tR0pztlsj+GDncq9mLjcaEh+OpHDRcc9noNtubMynOJvCc0j3TmwMZMxfBVsPED
n7YvwC/tS+DRJ69pMKZPFw+4aQiYQnUU5C1QKhrhhLKCk7HJ5El0Q3UmnFk9YksfvDeDE31N64k0
VDcpZkTtnExOin54dn0s1ELiXI5DiCdARkoAetjWbqONXwNwbwq8Iedv8PP/iA6/ITrYLvPTv6Hn
vxAdPr52SVrFfV39nenw/ce+Mx2g2/6Bzh81wPfgJsZB35kOEI7/QCt/4TgA+f8nqCL8w9S6oJAV
i2+Wa/MV/hPZ5P6B1lKz1DGhYn7Et/v/Dqog+wkaBYNE5u0IhRCs/YSwL/igAlEpFBRDUdJVpJPS
AAIZoUjVu9/4vehf9hecf/kwRomaAxhi5YE3yY9wfuxOTuEnvXNPN9e8VE5tPc7g8s85x5u3gpDf
vMSct6+kLLaHvz2Tf2AW/ONHaxeKQHv0/MJkSA0q8b4Wzv0STnx02Bo45M4jZmQ+VIBHOwAgYRbf
WrbuhdlV/v3j9ejyxytHaE2qMqMUuMpMin68cssGoCTUx74vSiNnczCGXq7NXi3NVVrrj5vKIPiN
yOwnJZa+3XwoS8URPnlc0B1+/FBcpSMVN6F173KakG8V2Eer9Ba5Q3cdPje9G5yI0ePDFbhQt08o
M9/RgmCCa3jcB0m2+r7x42w6dEYbR9sFntUrPNdOriN3MMU1I4tZbNIFfHjVNRqvnlBG2P8VVePb
ZaD9Rx4K6RpuyE+zwIDARcZMiXUP25i1ogpkvwXunDsAEvFYpEjYptzt3v/9if04JP7+qSGvBywk
PvhnwzXPMP0MUoa4z8QgHitjQQrrV8lXWkt5T5AgDYCjzbHpEvC3TVT6m+nXj+O+y+fD1Ecf6GEZ
9KthBykMVS5xz733DG96ICiieZlDqr54kOJ3U2E2k59XJ/4QvFl6kulDZvhxoeAvi1GoqcQ9qunp
wSAgM98NRDuAy9h29z7ljvM6mJ5+O6n+AJRGXpaLr3mGSfVvHvc/XTicd3ZLwovtX1atRQhFKM3I
vFfUEnLt+FFRnyxCGgfMqnHI/vfH/E8vCfWhfi/5968kL9FkZmrYg3XfdpjsVDPe12snnupr5Zv1
ddlmztGmIrqWMmWVMw8SZ7rZiTFNJgiYEtlSXxveMD3E0tUZaaYF+pcTZSt6PN6ThNaT30qRvHID
3JggRZqq2P37Rfw0Lr8sFt/i+ZnUizC1fh7XZkUcqWAOBd6fmSl3i9+2h8u6mcg9eWlbhn1FMLLv
zdxA8NFwG6dLka4RYoIcz2UeY5WP7HG/jMw9NyIymQC25vTw79/zH3ZB5nP4wZnwc5xfjNqMyVID
DHxx7zLbT1eX2yyatnkRZiQeZdH+bmVbPy8miB6saiIISEhiQv8z+bzsYyszgZfvyfGsr92+dF9J
NNJ/sTPyz02bUZjtdSRipxEae3PIErgP4xx+SFWeQuyt5v7dxuL+LjPZAUyDlyCFmnpy9Jq43KKO
U8Oj/03CUzf49fWMvOhERe0cMfoU52VWv5PYfhMH/f044bCG3ejbrFwY57/YoSxBHvoyneP7mp9a
hwyU203mG9mttIu5P1RDQmprRphOv7FcA8/SdCijZBcmcUqKML/bZOzU0IBm1gC7BWfyAVd+zVnu
FB7xEOhxY4+Irdlgjh6ic0lG46kxyhhLcL+uKaFjEkaYGJC6soHcwpuRdaPacgR4zNsyfIsdDMLv
AZ2T64Ck9RPj8/qMYZ0vGQi0plo1FiHNAjrRrajn4s3MO7EBjSJdndhvJoJkLiXv5P3O3hXG2tUm
7Tm/r2AKlKB0dtbcSTNhDjglIVoVp+7MjesTu43+1DeaZ1UV2bjB5Nf/QEo3oUoyizFKptOXA4Bh
jJ4sxP6wXXu9FXxmdtsGDMU7VMvLtPTWSioYJ0dLkh94JEHAOVkx/SfzLNoWLww/zOMg1Np3hri9
N0YyPEmT6ysX0NRC01ySCdPc+XFZtOspdBIs1bMxfI4TxbGbs0b8WfHKeTXRYJJWH6+gwg63Po5q
fDsMbF+70KFMqAJ2G0pANuKh4RToUnz/VrMPCr6J7MpYB11UOKsJCwX/FOR+rjiZRSKCZr1UyvQb
rH3xsr3x7JoA7glZ2I7AnzKBwpVOwdGJ0+Q85GH/FlSEC65iKzH1ELbdkGUQn1vLaXdtiKW7rJuX
0TSXT6IL0itrCCYGOoH1ee5rIIRUdnt4utHOWuz6zzLs3E/YyBCW5zXJOwtl+hKrCGxrSeJqo8MA
mnVCRPi+jRt3Uwp/WLOwyKyNV1E1MTCZDeIGgrp/d5gfA5CncfPIjIWWckA8njtXmPOE5aM/RDUw
NYJtgs03pc+sG+OlGVaxB5uL1EOL/xbWaLkkUcNjY0abzsaMzXiQi7D5ZCQDIYR4UGOpsZnlXAbE
WOjiZ3GnhzrPudOMs+prM0Y/y25vODTAo29vIfsQy1UiJnmaDPRMjLR6DgWMfNR68EP2lbBmr2A2
XXerJCBtYOcwe7XXofCbl7DFvWMN+5SHmma1sTbNNtiM4cjyquKOR48txktLNtW98oOlXy9Mjl8j
ZqPgdib1al8QQpOVo/uK13T4PFpW994tiXP0lMfG47APAVmF25LkiW5FAnAXrEu8Gxi9SZcvR8dR
X1PWRc9oIoJNPpf1dV7l1qM0Xf2H8D479f3A/sx2FuH/6kD62AjR8//Ey8Q1wX4WZ8vUwMlCmn2+
C1xuTmtxUgNZ2/yJNhHZWVWSLQZGWnCKZRmeQr+eHhBtcKinBjvqZY+khgtOkcsh6meyPUR10L3L
UN/KsHXEY9cp/vbybUul4mxlS9gLNWUnEd9uOt/JSy2SF57T3lZl3qKaHsQZYY04Dw6V4WyN4nEQ
S7hl3jM/qJR2w8YW7zGLLI7nfmrGzayrx9ni3oty5qJ4JfmkPBm695Rh9kOm/24Aa2dMmFF9mvng
vgYFpygcg+69KThtZRjLlywvqX4nyBkPl0JhySW0BPLJvFdror4nppJHizZpO1lB9o4mgalk6tv2
sZaGeTYTXmmvjsxz1xZ5Db7G/HJt6W9b1ZKDp6tbTFn4RmZmUoTXNbg3dvzNS4SLXoquzjLabYRq
4tXrFjCJAQylPhILzTcf+JkBrwFmEGRqEbyyvhQ4Spcq+ZL179+aH1uXPnMWZuWmIFCMqbCRSwYA
jaecGzCY4JQQq/aaEJpT7Dl2+IKNhT02oUYVQSZNKSIy1KGrg0nqVwjNfDbthqnVZRAnT79px/vA
Gbv3Iux4Rk0UUNzxP/GT5ACuHJe9rdatSp6U6V7MgsIAL9Sjx5M+V53tH7mc+toeDO8hnRWzASMp
+LaDSrVXKSdur5enWxXibMYZJ1NONlm7zQagYgcTG3XTjDEuVyU5T1RpXsWqVckSEILHv04kubKA
e5IC+CtS2mdGFP4jOWHk9PTSTPf4IbFGiqRwX5Ny5J5OTcn1XzaBvLCnhzklxn1d5Gl48uA/HWE5
8MJ5+uMZDAXrTL/1RS+al4xUhusw5qlS7suDjGyeKoEjwYZpo74PIyUoQF30bCQ6ymuOvdeW+fV1
TlpViVM4Q7ZNTDzjCdiVb3JZidAmRHc9pmwBriB7aIvnKJuPE8u4uwunyBqPAek7EWNOh63JqiN8
Qolmek77ZQpxJ12grCweyCsDBIhUzKPi8gMpc+6rjZvIo2UE9ABhRhviTIGAetxyk20LCfOKfT4s
CN0NmxcvbnjRpRinu8sVchJRI2sV6aplAL+/NLzLaDQvC2ZgjwSIWI8pW7e5ItNNPCrJ/8kIhsfS
6yptwRCp+FYxXo7NeTFZUU1h2Ec7SLh2wtrDU2UFBlG+VrlplaKT0XeNEdIUbrKRHJIN5Hdeeo+r
yNPIgZ3T874SYELuDiSKB3OZbTA0e7F3CtvggPjYmO0ozXm5IPSzOyZd6xLfxJKHPpNH00OSMirY
joMvD3PqFuXWxU7efZjasWLSPzqkAzAJcF+dSe8s/OnwuZpM2tZCOcec5J4aR/5gLK7KgRHGtlCJ
JT/gv4NVIrF83OhFHy6IU/XeN1kZwXWxYJOnFIl1S+709CtJyZq43IBve5Fu3IfMYl/QG2sb+5w4
l7UbxRD1V1PftIfJT+fPUPOj+8v6dCwV7TOAgP1QSSe/AcjUoKap2oPj5sNVEs9wKr8tiJJUwa8N
UPuwLtuhPcCPCLfF3LivMS4kcO1YFcyieClyKxJniE+8yLIS58zVaEPeGUTXeHgwVpCvKnaiecmN
tS8tQIjWZRiASzwXZKDzatDjQbhqnZF/NlMIkc0iLHEWDpfAkhOPbuLV40YUMW+WH0lOGG1Puasb
Fo3KanZ7OxW3eFbCmU0WFrVpCEut+5FN+7IDQkrKiR6BbE6wDl7nHN99xl2y/ZHXRh9ATLxjex7X
DfyMblXH7RDtpAGvYVsp/W0zxnPT1pYznxs38/RQzk4LcYRW7TmcZgo/N+a6oVIHrG7L6Q2Yh+0k
UMVjtf5hEGRQHXo1VMmt6DKzZmhVijNUU76FCxdw4eSvWe2miJb2sXcVRUhs5OGzOTbpvmomfb1+
ON45yvI/qGAqb9HyvCVGZKzzMOsOSPDNld+ys4+IB77Gdkd0FFwGxJi01OuhtnmBJ47HjKk3ZgQp
/IIeyDOkQpm95zzDdclNMSBZ1e64TASCZjb5XME8kPdAoCJDzvKYNk12wzBckBlTu+WRzn46VKLB
a5kcUxgbtV1/DaeCesGzUHw7FJnRinFRz5B26nrzSurN/wrlJkAkrkHUVMqp6WCKqjgatQUKA+Cl
YO9Go/EhziweD6QK/ipDwU2yXRKyQABHsHh8q8krZV+SAzUO0ujpQSbB9ADJhAqPichayZF3RjfK
OcEj16OtgzzCBCIi8wO+XrT4gE1WTX3gRCPfFOtPfl+UsG8vLuLyLzU1JqdL2ITbTJ/hwsii5yiI
WEGXxjA246q5YqrUsOX17Gm1N/nRNXgapuhJHZ4g3jrHsQnFGd1s+EwoXvduLXOw8ezcOdKD8Vwr
z+L8bHGnOKgyZrdavNR6HPjk9WXfDLOczRErBns7y4p3otD1ZhOFwamEF1Juogb4apychkAhxiB1
z77XSl4hnEkpUiMjvzJqd+fFemdelpoTiN4uwbssSb84g2d219hX88b1hmlBHpXhyfhWYUgwEoOT
ucyx6D/6zFP8Iw3b1GO2S7BSwLx9X5N0vyscywroVXr31YQr+RgEAsjODdmVwHm4JX5mcGxEkUUn
UXocLN4we48JiPVmgeB1ZIDD+7DEeju4lMx4G371Yjz6QclKcxdDpAq23txbOz45eUxaNT1NCeN6
6JLpU6PifNPxhrA70+0sOw5E5a98GOLWenYa46410IOsKaerYGu39nSwYtd4U43tvmehWr4Q6jl8
hffTUW6PRbyirrLIN+nMk6Ao2xeAK58cvm67UVEERUlKqNNbWU8SmsGUnlM9RowzL/1YNn38AdHz
MK0xbZs3eeeae+xF5nNoN9ETtsT5Wy1nfhO8GtjLqVGF8d1SGXSshRmPYk2uPYyMNhy8lws6878J
z28mPPivmEDj/28p603adfo/+BX/fcTz/ef+ErMijwJrZ2sFugSs/r8jnlD88W2GY/014LH52+8D
Hdv8A40+0bKhBWvVA3/9bwY6Pw46XCfkKMMNRVtLa5nIz44oUFDxFhiS+CgnZrlm2c57G29j0Dai
BcXGjJP2bVKDfGuICvyN3xh6lx+QZP3pLhMecGvPtkPMx34aOZBhK10q5/xYZiQj+jEsEMPq2LSZ
HzOT7aEk9NIVsGBFT0Uj5AyxZqitCheOen5aIiUlJ2xn8Y7lWPCsQjEzK811s0ZPnG+g27D/Nnm7
MK7JUrVcRynv/LaCm03AJhT50IfqzreEJz9DscrPQ1IRxJoxRVhLnOR3bWIzJM4wlHmQOnajzeCe
ByOVId0sUap2Mu99pq9X9H7cN8RP1YmvyYyVuXnzaofwFNAg55tKUX3SgmRi5SWOUTUHiqBYtR84
p5VxFUzJKEAzeErvQ2zH3m4MfcN6NocoTreliifeY/Bz9yUxwxmxWTiGwGV1b+eBvRpL2Yx30vLh
xfgxkXznhSi5YFfns4gfoPN7Oyb2pYSUCngS7Kxu6M0NnA+bJDNH/8mYFEj/09TmZIN69FAraoYU
jxBSlqHfo5Skqx8DCOdrkXsC18pV6bEdeyTNxZ9LJvq3gz/X29oEKWZmPctmJWIZfFrU1BvbilJ6
O8I63StvwZIJMnJtDu2bm8nh7Ac0qOvcjO1D4dninhTFejMSo/kJVyWA+GJftiUqgS4o9kG4a9oB
yvVQePK6LceddCTwXpJbLBhYeCvEOvXamMPofiCP8ylv3PyTqQW0PvqatY0lNMzQ3P1iVFP2wDFD
Ck84SYLiDPQAlUhJ2wrtl8ztiKTFq2uT+m11TOFeXzkR3nhCFA+0kPn9MPUVxElI8FTucm+I0bvq
6uo4hfMjAc6Djg4Lu89uLaKHEgu6DYVXeswxmtiaY19ew4Pvth3ahTWxd8VTPcBdkeBOe3rq8M2L
c1msWizq7+hd5Ss4hUtcaTOb53AOlmRFEqtxhX82PzWblclAopn3o5TLs20Vj5nRWC8eXVVMK5K/
pZYnnr2Al8oZbWcHG5OKIS+HlSepxVp7/BLhDfO6TLnYhkhfyWBP4v61XZAjLBQTIhmdVd6M14OT
uLdF3hU7mxz2coVatj60sZMfa/SnVG0+yYeQJM/Cr8aIZhCOSZYXR/RO4Zr6rHvsVB3f2qNbH3K7
tNHTkHpa4HZ+KAH4MIGnkFNDk32SVZK98ESL/TQp+1rVS3FQVdWcc/yK35q4J7kuolmBcGkvd4gj
h1PZS6o3+vlhFTWB/zBnfQnL1bDZVjhXb8iXse/DxfQIL9AKl2JqI2PVBGl6VXmxfasChSlxa6cf
iQueCOOeR/OmyYcUwlkuH1Wuxg+4eYCTwnnfGlMavuBunT23g9dfE10FF2hSfkbCmL+g9CmT8s41
ERZi64PyfiG5zczCYAfb0P3qDq3cA9bPH6fMQjMXwvrPm/LYu9ENFWa1wXGI8j906cir+GiFDQxV
YqMZRawIa1bvqhqtlZ1j12ji97QidrMGduuGfUtI6w5sFlefyZOfm8hV13S/KYUVhGyvcsb7rHbl
OcFX6VC3yr6P5nH+hHfB8uZGYrjnhkS3KCngXPqzgGU9AoJ2fY98ZMoOY+Fke6jfHpGqqs6fcO0v
9jx23hZD29X7efNuG16/X4Jy6pCdmfYWLxEHnKztiWGHRE8SIKHtmUVKMspB6+tiJaGxMr1IsZRn
Ynwp3pspH26SqLyjjQrPVm3Fn1AiMHJyQ7mb7NkYVuacmjdemqNIgDd1NlC33DMHQNQsmFSd6loU
+7CYbgupmmIleFGvAAWdzQJESe7g2E/HNBfxVVNnxJsGHtmTdG83ShIC69tsNVVRMaxzsytLOuKD
N5eutTZ7A6WU9Oa3JINBx0UH6ANUl2UH1OPyc+5h42JmkFERt20jWVt/ZgraatG5xV5imvUo2qx7
iEmFO1s9YTyGkguQ0pzLp66CgTu5viZVNcZrUyuTE02MDwUNXazHFv6pYtz0jpqKBKacGeKhqtzx
yojLYR91AlOrvkUGR2zbLkilfB4RQtxNmkiPoGzZ2+mU3HOygbdo1n3QV/7XOc37YgWAQycbxu9j
PmVbJ10wW+wbzLMCdT0TS7jBfqFfG7Xm+Yea8h+QljeuzK4YXvGcEMVa81iLtbcY0HvxRH3GjKzf
1lpMgNkUugJXSwyICJU77KrkxyAmGn7r1HH52Y7jYF9pgYLSUoVBixYKLV9I0DFAvoKpPlucb2DL
fXGGghfeZvBlb3KtglDY8OH0avQ3UQ+8RZyCex4Lf1gZQ6U+YvoELnWRVHQXeUWnlRZN3AWnRasv
TOJ11SpUKcd1qOUZxdgbj0niei8yxT1zuug46oumg00bZ0nN7AJjQvTh55V9xvIeh+9qoDQPCki9
mRaK+BfNiLroR4D/5LoUeD5OtR+85lpoYqb2q6O6+saIK/dDoPUoOFnYp7EPHbbB2brDkQoSblSB
oaJkkeTH7ZeeecFcpRuwNOtGBX12jC1ikNukqu/q2LKffK2QmbRWRsra3RsXAU0I3gROZqE5SKGZ
1mhhAcNQ3Lix89YnLTIc0ROfisAp/CBcGOQVUykEni1N/EXEU8KfvMsv0h4LbOy+0HofZJD1ejTt
U3ARA3laFyRNAUHSm65CpmRbkRryC0QHhETGjKYo0uoiho7NutOKoyqau7tmKRrMUht5yBLLOkzE
Wqzplo31eBEuRaL1P1ILWI+THWK5oSAAfA1KQ72UWvcU5c0n5F1IurPw3gYOyrg+s6fu0Jop6yKf
yvosuRq1psq7yKuw42ojDm25vKVNW8pVp7VYFqIsl979Gq+5mKWJqrbU2q1Iq7jgI5bX6iLtGoPW
zzb2RfIFzUGd7VhJhKAtWqC2vB0uIrFI68U476rdoDVkRW/MOyMV/sGqi+D2wkHGsAHZmZaar40M
MZpElaawDiBLO0ep5otW5Ee3iMWalV3cjRdVG9JKFG7QDChfh27GoDcfH7yWEei42OPRM+fqts/l
yHtiw92Fmuq/U/gmW5yjrX1usq1geU4xjfgayV2v1XeDWcRPZl4XT45FDUjo5uKs3UjK2ybvw+sl
18E6sRsdmQ6qcsV4EJlfXnOCrYIhOqZqaJfNpCWBWQ8mTdKvSBUlZlgfyot+0P6uJsz7mTkj8xjG
NwOCw6kPWgiZiYSwgpjScVpaWtmKDW1+vO5jiWyxGpdtTOH/afGC6wxtY6xFjgq1Y5W6hGKjfyxz
X/yZEp20QnVRrAkgJwLUL71PQksnZ6yyV8OY2BvNWts29vLaorSEon4faOklxF1vA0UjQU2RmuSf
ItE0ceRa54CIEy3CNZxpUFasDHksoLxa5Bl2odrYBcUNacO3A5Somw5NqNDi0EnLRHGkKTa5lo42
WkTK7C1cFeXcgDMhMa19p7qKtey0UsGOGed8BU/2NtHSVPuiUg0mBtWYALU74SNiXbScNdLC1kVL
XGu0rr4WvS5a/job1rQHVGzWxNPvQy2SnbRcttHC2Yrl92oQIYFlTPRYAtEfGiOar1wtuU20+HbQ
MtxFC3INWItgckhx5q5f1s1Fs+sotLV1H58rrehl9DnfuiYXRzjNNl36kj6hafu11/i/M2b5tS2F
RKVNuxwMG36NOUkiZy5SFaTHDEtHSjiQsKsWYRZhuQpGvWNWdKTUUhVHtplv/tau/wP570cWiO5K
PQuPDQt2E74f4mcu15JWrTcvTXoUU92+LRn5Q01aJLfQKPLfUFz+wcME2hY9je5+4RP9RPRLZZp5
E5Oro2gsiWxQoFVYVXNcf/n3S7oY2P1FAblcE96xDl47eEJgBPMTZyuvZ0Dm3I+PqO/mXRK0egA8
WduiSvs72eYQfQa4RkwFnfKVASod9bjEyS0m4Lq5jkA6t5ev9D/86Hf4kYlfzd+e3i8M4ZtX9qrX
CgLil4tBmnZCs7790HfwyHe13Zmv3fJxJMVflmXznR/sh3/AAmZUQLqDtopnbf/HCC38g+2CmSRk
Wl4tVvdfkJL/h3ZiEpiq+Y5v+vyj/4Ij/Auoo13WYc6S0gFGBZT1Iz2wMlXWQhpZDn4s3AWTHKc6
EQkyP5ViGsh8d93fUAB/eYlIL8TuA/iIb/6rKXlPZkBvLN58mKasvTeNYVh73vg7huWPDE/eIC5J
u5pBkcUlkt3hx8vqXUam0k2mw9zLdD9ak7znIMRtzHearWmMdBgdLsmOzIyHDqbw09/WwD9tSrjR
/Z12qb+AYFfSLkAByN+vPkScPukA9/JQF14xIbFPlh38aPMwkLVzmqykhTtAPPueSHiE8g06bK1z
TjGN7YB5PlAycfjXCDqJVksAx2PhFKtgGfPdbOX82aKe6YvswoCkMjUZwIIbdcgoSB+fv5I/lz/Y
WYBXwIQtaOK4aDB8TyLqduWnKJXzXhuMpKsmFjOmudIGmsNdaDmYEt4tjPbm3CKSfUQVOd31toqu
Rq9rXpkOc/R29TB/TTquaKiK4blQ1bzvMpC0SBjM86I0EOtR435JZOKgns6QAGOTHxxpwk8dihBG
8170EA74XmzonhiLaZpquY5hy4p1hIuUvbewd0Hv4XfW1gdjepxrpif+VCe3LiH1YIohZw16kWLV
+Gl7XxcDLKNB59VnvY/k0iMkcQFIIK6u1HSxtL3KlSXvUXRFV4vyJw5EURwliYtbYffDc4ZU81lm
i/eBp2NtF9zbtpVFcaG8Sb7NNWZ1MR3xOh2r+YkM3/pFwRtsVhLryYM3hrxDI7Cr3VeQA4SRHqRM
5q+jauYns+VHZrPtPnpk1Z+iieGQjHtG4cjYP2b9WJ2mmqlRWeLrqnsGJ8PaYTSAbNRCDYfRLuAT
c6GxGqwtovv8ofGSEHJ3rFtzDj4n4n/GObaHa6ZnS3xAnt6tKCrk29TxOgdGP++9VBXHOuDhzj6z
r0llEBE6m6zrrelhXdd0ARY8CxWfT/8FSBblD4wlGOoFiTw7pu/imhEPX3Jzxrem77X9smmyaYj6
z3SSwzOO+YC0cuBXaaS1KbHxFBNXHEIGOEe5ftkN6d4asTnAMORaPCeDlxAm5XrIoSuBZAHo4p81
7+fUcm5jhycRkaO5cqpm3pQITCGvIGD/yrSzecXHwF1PxNBj5wCeW2ECFUUPnhnJN/JLlpsKwOrJ
Yta8x3uB6r6V+Q61fv9uZgyzUyQ3myQuUDMa3Nsu5jlmSt9qvUSLCtXjTG2/W/KZY1UuPAkHgsLe
Eaz/VlO5iphSp+jylxGdBVZDtBVx8BVpLqSF1Cg9atWotI5J5/5pIlD+ZEWReo4t1ubKArDdWyYi
Qccp/nQif8BdwG9w63JZlFo0NSU8KM83+l0knea2wULkNuxH91bNMGqrtGtelOvVfxoIz7cXeLu1
ovpPu3Tn6wyS3ocp0BYh9CzhOqjG+jVGvETiKXAMKi4w7svFBQkvQUfT/DDNTdVvpjRbbjD67j5i
jpA/zDVEmRV+3gWuECK6muDjrL3RTA99bflgnNGU7t0pxT6s8EweU5krX9vcyE8ipU7JzJmJNpID
ee49C7rdRwozMOmXoa7G/i1tlfOSCthd8WGwl8ohcXYxqi1qj1HdzHKM3KsxtpXzYOfQgSCIzU+U
Xf269hRsXuFOLU6Ei7djHbqgyZZFS8GYkq1JVWdV05/1rLArmE53vdkZ97VZPBiuOjtlU+6CxHfv
F2SVK9fHHaJ1Y1wmojOSaoxpSII8xNaSHEsrf6JpEFulbVKUQ08S4FnkDOo9T6zyaFTxGyZmyTFZ
iBSohGpOdTmM/4e989iOG0mz8KvMC6AOTATMFplISy+JpLjBoQzhvQkATz8fsqp7SlSPdLrXvWlX
LaUDAr+597tBLlkEgp7ov7FIbFBld+epb8IdwcvGaVoyb2tABtnkNPfk4ETJjVhA9EBdGOdNi4fS
Tt2TltXNNsmbcvFrL2yOQMQIbNYmHPM6MfFFkpFcWeT5W1Qv0G1oyZnZdwLdsCgf5tJJArPQvHOK
aPUafY7a2TE3bJMWxjmZiewePDcCyccPaRqjftRRRR4KB99j3VtuUCnN3NSWy21ZGuk+pq/cmFqh
n5VMvMMQGR9Y83uYLZ3uyig9Kw9MvvuvXa2UvZEQuglxXfgNYTD348GsE1hthgLpFOLY7vDyl6Y+
EGfrGTAYPCSdMrSb7Rx2X61KDXukFTzzeIC7uzHmMRebZNympd084AEymIRk3Y7gr3iCYKDhTHSn
F1eOjIutbDqXU0Tbm2fZZ09j0L2xJ3vegxPCie7YjNZBshFQNAqLCtFq7qnO6KjXmcWx5nzVtzOH
CMverDY79MxhdS3yrj5DXlqCytTNI7E73daKY+6qLsB62fglsXw+vAl5qu12+rQoK2X/BOWEHAMG
sVtkbRWoCHt5rXNdHs25WD7WaV1FG6PzDhOz0mMxhPNdklnLdmRbdsqKWmxsMy+43LPRz1WUBZ2w
xL3TEUS6KiVpYFtV+HrtoloZwfSvUCslrXmLBCN9duwoQegzq50IEXQM3qjtmhgF9xAV97mh8SzH
kHhMEgvsBeF720iLvMfcjYx9nnDFIy6Oj+44hYGnQnFdkQ+JxkdpD+DI2Bo0y3xaMbKIt6QXAwOz
2+I7YrQbktidK28iAnwj0O1Ffi5N9MAizq7rbjGONcB+1HCx3Z7zJbQ+D6kzC9+RyknZQuTdOZ7h
/mxSI9W/10VR5FtBtNXERF4fj0vTeHTrWrsfjFx+VvmQgNTKkvRK9FH3tbBSe10/MUJFoojeXX72
Rl0/qDjrEp9hPdZ9bUJI4cRy/FKh09v0uVrrgrq5n6Y+39rNWFaBOxbJWZvWCGNMNKnD5VfEbF/G
9sprukps2gk/vq8qmRym0g27TYo25nY2w+SwxGX9xaxxz26AJ2Xrb4M1dC2R0tTiObRyzNhZlVdI
qyWHc91/Y4yvahJ1TTQ0COZ54NScwm8gxTEkz1r4gLh8vQcAtF05oV6HiANXQ2qcFGBcanm7JIn2
oFU1MuQxseIdHocMYQL2IyaaM/4thn31l6keCEiIyeu5QR+GIHugKvyz+GoSJvmpMaN6TVmp4i6I
+XxGsYL1p3k2A8pQ+8OUNZRla8FYBubI1pZhYH5kMFBe5e2yHITeQatD3ej3bcoaGBFPE25j2fFw
RyypPZSRNzwmphXdRgWVRint+iZaLu/Ca55ZRlCWMtNaD+WlmN/6lJok8dDFH72mMe44BstvVm0D
BNcgXvLURrfPPggVT9HydgB5zfvY0IbHOGGJyhpaY/Bw2ZVHhT2fsYHw+YdRbaOIZ3lFsfUZKEWB
X2Ytfz27+uz0U34E2KL7MO6RtBTT/ObOKGqmJawA5yUelhAFpW2WIboZ5Gj5MTO95v43TYTxcxOB
kMqlaaSZsdZo5x+7GMkOus5n9E4TrojN7CDTwlPgzbsKsNi2TghV9GKmrPAxxwM8zGiH/u2VnPAn
VUYWUdA8pjSpou1QF9X12Jri87jKtZLFys7YvawX1o3xdE0+VDme2zh2gSMY2VZnpbBLWF/uC37C
Q+Ql8lY34jpop4I6IUfwzYMbsASrnTPRM2rbNkQvVusva4pBe8A6YX/QpDO/FW6kS98shdB8pGmU
ksKm3lAVoOSBCwfvO7USTQr1YJTxf1qgdZd+C30PIcFaIyF1aO5LIhf5Lb21XMoopDzICb7QE6ZL
UBoCcwpZNTK8uUpZ0OxGwIibCKPMY7RoAFo8aeYvrcUw6oSk0hmvmlBFfEkJyC5tYqkcyCiL9c1Q
W2GuHSwrHWBwS+DyndjygUrzscLaxODRqrOjYy95dMx4lGzDZf0fQgqpcKt3jHI2YWIb7kiklWue
yR/uvpHTNtWcgtRSrR6zuwqx+qOtK70qmLj4Y7YnlFAOfENG7xRXtDH6ga6HS9sV3ZOeUuIDO5Cb
ToLlY3RYQ31oKZjdWNRf5nTIdm2C8o09LEHymVoOIWyJfhuX9vDYJ/mL01K3LxPaNrSoVrJt55WE
tn53Xgai64T1kxgEGWsPbWoideOGvc+sMdmH7MHLjSv7nEWnW70ic61exWzwTGZpZfrlxO9pMRu+
owNwr+ZGZzWmaLbsvOyeSriFT9NkWEcdd89Lv9bUZezlq6IVB5NYcpa2c66GnbFErLW7lGqxdCy2
1IlzX1jt8KgbwCbxt1avskNWrAsq29qga9m25cKdh+m3ezJTGvmmyesbQCoORDMxVa99WJIJ4vZU
pKEQvbOp5MI90gGfMvDU8A97fWm+ViWGYbdgpddRlfsyEcuBLX1zauqGaYgJP9OfvPXoitGB7+TM
7BQYSfNMiqF7ZSDhfulqJNqRUbenZHbKKzvii2s5uPalbspN5ZbjoyvoX3o1J3vWfBQhLmV+kdGX
OwntCZHByxs8mGgJEndBymcXd+Pk1F+w7NLm6DKCHS/APqqY/GjBX1pqa8GyvuuJ5ajhu2Q/tZsK
UfPVbCmY4OutOtHJ8iDJEFLTpL7IZhp2U1uktp/qygzYctKRrpqYZNJpnOJJNPc6Qgi1YVvJZbue
gXUZIZmkx57PGYFQ4LlaRT+Nqc5noMWny535vETAHKaRqcblMjQnWl8u70Y/TIM2X4uITtPq5ub+
0mmXFpdPoRyWj0hYWDPTfeToOA654EGWYz26GkKb+PS1LdMija9BNHQUDHr46tcBypK48y6racQR
fLy1LhTChdut3CCh5yGgJmYQLiqjQGcr/dDUYirAxmQe9SGPwqFyprtmGBmKlD0/caT0HGAnnwjv
F3LTaOEWJPKc0UcIAZaWWgcHOaxS7pRLEOSMoYKy4I6JpkLempm9QqXx+TBwGDuogS2TmEVkzfNi
CQYUslfN1yil0+30fv5UQsH3Q7NF9Lo2tYAWOdbopGDWrB3yCi9iy44gZVMuCX9TYdJkNwtHnGXw
8pe+2QHYdj1lzMzKCmuQpmvf8W+tZYqj8fPlBQ+ppiMb6c9LE9jZrha05OWqbdGNnAF5hYihkVgd
3b5rniuD2QVgImYZJO+VVwpHEbsSKly4Hz2HOzKvb1iHqpcpws/U6uhElcM5W6mYrzCWTftVLy1+
kCwbjKCjbA06m7Koh35ytV7PTbsew2QOdxCNcyZBXuJQa2Qtf9zrm/mM79L4GK/TRtWk61OAwvgF
7TQw0GXovg0NiJTYCKNbBzTwjk0j1w/GrwMlJkMgm48TrlOHS1nhogVHNlpmD4Ua6d4BRm5tB8ri
5dlgsEY9wQWLWQlzNUHZm/ejJsWtE2mSR4VCXdt4fMPI18yPqoUE4hXgRWxA0EdBG7K5eAxq2yJB
a+CHBMAAHTDXy6vFGsoraXLjFOtvEFMvfe7IK6t37YKOvUDdHpgQ/R5nRXlSZ8xF9Co3PwJZ5rDl
HHuuOrf+THIBAB0ybjaXUczYMyxyTWAkURkrODIMMjpOkxrSAAvPFUm9Q40KGLenyCy4sfc4H5g+
scAsN7M+Vi+5qTEYVMzqrCSkROspWCwb1bnJUG/VD3DxXI7ZyeHboGOHwFsJdqtyZBPGOn+t44AR
nyb0s3ctzfKnGk3wQVsUreLYjXyZ6DtgLnIfZcACn3R7rKmtLa41TQ8fJsWcwswndie4gBp2vDnD
m/WoxNxrBm1mZbeLa2b8lKjYxoj9n4XOi3KXVpV7smUqSJ7qyh/EFmA1zvDdWamy6OfZwDQZN26C
qxLPSFV/6QpMGX7TLfkR8wLFY53EtyCBX8ZR8q0tDso+011dtCMLWDpPdlLlqJpnqpJU+MMEhgc9
buVRt+BDu4H4wyGrwH09VlWI1W9GQDAO/OCzS/RtZjLKvPzXy405FymPGA3qwlepeKaSAiKO5dJP
d5PJbrmI0wTwWMUNnYjmFDmrL4+4m+hW1M4isboky3UNyOHZUs68m7rsbRBLZcNAo3G4DOhWyKMw
6QjUWgXMU0MpDD522NPA8YkVKO1UHQZXfIboFm+XdQLe08gGAy5aHLzV4J76sK/8X5erxk9rQEbe
pHCTow7BxHHeb+IGPAAFsJv+IBKGw4hLBnnr4MENol6Fp1lwtMUexXePW+jOiQh3TztpHQB4vSCe
oHcprebUWeN8LlXdPOPSFbdjYk6fOBKW3W/eLPuT+ocVG2/WNSyTqAD4D977N0vWUeaMmtUdtIQl
+diB8poRX210I2WPNtCYMK2gEDVGmqKsx7alM8pYcazVa1ozWr382L9+U5etxI9vypKOKVDYuux2
xPu9H/IE2ogk6g54OkFSQhsJt507NFeL0pCKtUO8pXtfAtwDzCbCgSFbWvPrOvHayZEr+5AqLior
tzkN8Lp9YxPq3LsICwNOWQpDra0av+nlbzNgf+5UDPvPX98hhZJhyY+dSmvCsoxWl3mkmc0p9Jjb
MLmnemxwft7D22UTgZxgO3ImvnQzT5ESfWm4HXr51+7lv6vK364qpeAq/4XU/bXrXr/GA0jJvvtx
X3n5k3/tK23vD890bbLlJNMuA5zP/+0rrT8kfkwpSUX5U/X+z4WlMC9bSeHyx1h/uivO/x9QI+MP
0wKNw4rTsnkasgD9NxaW7ER/uHExkJAZ4KwyfF7sp8WaZ802Q1GtPrhJ/hbTcu41twr9xMUb9Ldv
5+7P++4XgUV8CCQbxOBa6KItgmPfXdN5KUqxtk0H11wIU9Trl7qsJl+F8fCbnei/+ky8BiQLEmMF
yI8f754IleLS1rC7e5UNwNL0224sUuS+y+O//ZG4O03kC7yczmv9+EKjk9NCtwuQcJ4rWZ69hVry
lvLv/8nLrHAt6Fc/Lz97Vm9dLKeaA2c1UrssF9c8pk02Jf/BV8e16rGlxxzhwuL68RNFtV6IKuYT
jRDBrybo7XCzwbS0ZfqbD7X+TX8/nLkcCCUzaQKAPNmIXX58JWcEQtB7qj7ECoqiPcwPczRh7Jof
69WH9utv8P2z9PJiFokjDsnaHhqXH18MCGvFvVnVB0aNDPkoaQ4p3E6/0pJX3WValYjW8g2Myf/+
pUiyLzYX7xJ26b276O22YirD9PLAc6X6MBBGBv1Zyx61lP/068+4fmE/faE87zgVoIZxV//4GZch
HeaEkuGAqLY9wEyfg9TUww+/fpV/cW+5KCX++Srrk+tvuVyrwmLUWOodNNgwgAunx7FQ5als/7Ov
7m+v9O6rU4RSVSzEuUDyYd7aU/q6wrM2v7+9fkpwcVEXgKA10G7YkkXFu7lgNLDxFBT/h3419kkN
yydAYuI+LPHcIJg7MDdk+cFkdieBVm6itv+NG0he8sx+/PWIlAe4tsb4CPOnOO8qLKRbVHVBWCP+
j1ofIXTMNWXuIoo58Nj8bw2vNXYN4pcDrstqe+GgwHgoT0gzoGgrWvHAnaJh07IL/HqZZDtpaB3X
lLXd4GRvKPisY7QY43XtwNwHA4/H10T6y8yV/8uM4jxg4mWyobfkwZma4n5uPfMpc8zqiB42fBkL
anVVTPIQOgsrk7n09irllsqcyY6Y+Q7s2CnqqEwa2qy+j8tgyPIyIEO0/NBrqQBLs6ivTciDBuoT
7902eJVUYCt1uzHdxI4bVwE0Bf3LBZiVdLyfi4uyCPnQGb7iXeVF9S27xGrbg/8jJdiC5eQbRLWh
JrV6GNghTWKjs5BLG4b6Wltrm0Ln0y0FZyeqzB5rIFL80OF8A/RTBrbNU4g0F2NH9nAFXR1E4UkU
dFTkqVdn9N+ksxXUhq4HIMrJdfMpikd5niIjfYncKn+0FcPVprPqz41dmE8hn732HcWYsC7EsPCe
RiywsVN7/cayZo6byRaMdjTGGo+dIjGH/rO4h/TRv4R8Nec4bepbe0jfdIPfdEht86lwk7epU+GH
3l6qo1pP57gDrjTn65qjpfPi8sXOFd+lCQyclCSXIw+VfoM6BZt7lFs+lUhCO2YOJTBOrLC+GFiV
RpD3oRFH5ZsNe/WGyAu+RMz5JctRxcLgcuflXUTohg6FgsCNMsgSvgSMGulmEQC00ahHH93FXKdV
TpK9ePg+oG8reP8yXhEZPXFam2pp7XyfsKisrw1GrN7WjsPxOQ5rABPsTKFBkFCDQ9lmeHalYct4
gpYhP7JgKt5MrMAnPuMclCx+fTRLzUFAO36suLk/WoQFpBtJs4qXAYVOhsQ1HqvdMDFfb6faQuJv
8hP0IQg8fyKYqfK1CDc94gXvER0zt52A1bt6PrxgmdGU9tz3gy+B2MSPfalF435wy/TVU6a280ru
I9upkBUlHlEH3QjiQOE1fV7aJdtjBO7J39ZaM9mlNX7rYEE/1PhtB9Dbx/JvfFm8ejUxc28JlKkg
nZTsPo1ODzsuhXXrzDnHODNh6bdsLk7o4RL2kAqFuJHxS8g4yl6ayCxPU4gjh/WZuQFA/kYv7iEd
IhGINwIhOyrmrYY7A20GCoqbKPPYU0e5t081fqHB4uk7WBys6CKxHZKc9CEd2yHbxvUUfy9rD5tF
ZjNatleTsDCG57qbx71VVOBhMQ+UwaLc8qRg4XcooXBx9axBV/dJG33vh9bZxt30AagPCofxyxDP
yanAqR0MITx2nsbOfbwaGdl3TwHTtPEaFwfMtYz7XLg9LqrayZ5cEMVn3Zt2hFPkDDCmut8UKsOl
xp4y8a0+56K+eNHjHF0LrAHv1qKuZVPIXQ8HkQkD/BRWJukcLC2nG3iRcW+sj/5a8LnNIn1NOs29
dRXwDtzL7r01QpOo0Ot8TEVonTCC8mocqC/D6ijXQSltR/LcA9kt3EaF23i3fTmor53WAhSPMLFs
YpG594bdNuxW8lfcDEz7VsCcjXcZox9oXLNt5y2kL+bC0hrc+7DKWgbhAyfZpdgjnKHZ53oxbFOw
SpvCHKqtrXjplhn1IencHqWBob7GsmS8nJd+5HU6VzBaqzbJb626r3axslx+hKK+7Zq1tK/M6pwb
NRcTQ5gBnLGB6Nvh24G4wVjNZuZ4OXXRyX3uM9f4ritOq3G9RqQOZSsL+wQ+xRTtRoI/OeMoZjCa
9fImjeSuY5wKJqE1N9IC7dT0uMXHxa4+oWjybhcnLImZcFpgOZ3a4OTg5M510AJ42sqPYx2F4IDL
kqS8objvBs4eLeL0UB43fTaSkTl61bCzUtkwFB+TGys09S+eMfRnpo6UxNWAVLnLD52tj/sUdMC+
8CLtum+TW4t8xGctTbvbeYqxzKTLU6JbCgUNSjgXV+leLIY8LOTFsVlpittaa8O7PPvsNG2xZQf8
VkVhtCEP4RP3M8Y3newFt4KyHhUEbuhWfStmZBg8Fgl5s8UXTVYEJzk89LIVX6AlMVleJSdvW3Li
6DiH4BcboMUXftL6z0PWFh0R7PwGO9o/Mi7gIGx4bpfYX/JpOJA5L9o9ex9cwXGt/L7zUjyQec5h
ltJnYrchq6NYA2+zNfNSJ3UBPR8AlrYA3TU2S+vntZUU7GJBjKMQUU3h14X5qSvM4qQai0RFbPM1
qxYUE1beDdsB1JOZMxHGxGOfZ2WCTOfhk7ecf4WjwoeGxQ7IjSyNtb0An4fpJPWscfKBPY/uCWVP
hSHYHiBYbmgHCBj3F6913ro5jV28FFnxvZZofYwkco4T6xz0jjPwL4aWUmf2PnGuz+4aX73p276/
K20HTEQqBm9gqRelQV/HLdY2azBGFs9G9+Jmeoaoaco/qNSakDQa9mqhnkP0FrUzjyeYd9kWjvwX
4Q5kHqVoGGYcnUIS+W1CgtpycIz3UqbaNflcGno4p8CuJsx5z31qWn6VsrAecrfHazP0rIfC1yyW
WeAoMwvMVYdWOQ3M+d6cbgae0azJolbflsIctA0xTssNt2v0NSL1ePAzo8P15YC5T3NNOyaTxKUM
E4/zTdgc3wIcHnQwRyiIP14utzhFgXGwHGRtOcvfxTSuBvsfW4m1IF7d+fYqtP6pC6ynhOg7DBSH
uCjEaRi74q2yGr5BBX6KiBLyoqYgB9dBenlq9DfweOieshhVnUFZhW7vlQdXeXJNZlSzSasDMQA9
aj4P8ixMVKtlm7asMjov6MmpqPEth/KAnZYJ9kSnFAinCD/AtxWvli3QaXj8y97VDOcesR7HbThP
+aOeJOnL5QwsS91zN2rJzPg3XdVP5gGaA0DIdFSeZLwJtODHhqdblgi7mp4fGFhz9ppqvO6jgewE
t6Vm6imzb2ZLI63FXKixMq+tzhx+8tzDBUxYsf+ub0Yu//63WbXYCNbhlzJ7eN83407gPOD9tIXx
OOisFjKeL8ohXzwfHsKZR/6vO76fGnUuBrC+vBI4asZO77ojhD+yiNgwHMaGghROcsjDmtKkLGPA
Q4Djjr9+PeNfXX2sO9kfkhplWe67RrZsKfaEnWE3J09R8zkx8aF3hD5u0da/9jBvg4ygvltbuuru
8ggm5dOw9zH8uh3ySw3HEMQxcN3jfuqocX79/n7qsz0LEDiYY1YpFt/Lu++jn21l1wkrVo9+ey+1
CGKZUL+7B3+aWPAqDCpMaM7CBFDxbmIx4C4L7bJKDragcrUjTo2ytomYYjQMDjPD/DinVO5sYsfn
X39Ac/2Cf+hFMeRw8zP/Yf2Dc+bda5O3K8Y2V/FBdCoKWSWjkdLC0HsBMiTPhOHI+dbTwPBg9HvM
vLl502qpSD4ZJfa1qoxhdEdt2/sNIT3wl/qaWk4AHKT4RZSAZOxbE66pLlrY0TVe3v1/59W/mVdz
Ka635v8/r3763vX/85i0tLPJ69/n1X/9yX/4axysMkzKmMoxFLGExV/6l7/GNf+wJSYMwYRwnTub
3Ln/gPDrfzABNZhJs6hCu7CyVP7BbHH+IL7Z1hn7otAx2Q79O/NqVjfvr07mW6S0S24KA9Xl+zsj
moXKyzSKj13hDGcUIVDmSIboztZciC026Yql6WAZD52h+XMRsTpJpmSb64Y6ZHGrpQGqcWfX9l77
Acwr4m0rh+jn9vkeJz4ws2TwOMMnkuEGu+izzcSD/Qjp3ml3zNjCZQPCU9noH2QufSzXNjXpnJGi
UUxwCWGuutlAoMgc0QWg1/pklJ0HYFK24caz02dPqUejy0PbFzhMPi39CEVb5fMuGTV9i7x6uI9U
ZZA+VdLUTGXHnRVq+YgZMmwe5NwkJCstRo1wgIDmutLuk7BOOyQnrClbq6muFzWX/tRZ+tPStiPi
dX3+GNaztZvbLr4zvQ58gbesnzwvsw5Js51sE8C4O4A7Y+nHai4+RLGUO3PVWqUd/9jRG+MMOuxT
RYyyH2G2vnbFvCMDDmN8w3AqGqsx4jEv+g8Zese7sDJgK7AMgHVigydFY0fZJ3JXW7beEFKWIhYO
TIhbvj03+Zb3nKFr6cWG06ZAquY4fjhZT0PGHB9iNKDW2dwbQ4wjYBkhnc3kwW6dMTY3QsLnoJha
xFWvAZzz2T72vmsvvR8W/YGM2v6ToNZMQfkuRqCNJt1HupZ7bVdKfg85XLEtR16hf05ShLUDnyWg
y3kMS8KvyCH8NGcz5ldQIy/tmgZJ6e34xezGW5nNq01XbvHJRg8kZFnlFrJ1fu2mRXMDcwWXtZcX
sUONXdm30dDZd5mlhdBnnPFz2IZQGxpiAmVkT1f4Lr/3KDlnXJCLDT8hAWfFeO00gfwigJxUPdeY
rnI7Q0Vk2Kz7Si28N6z+OYK9spG9kx3RAIfRWfV6Pt5P0CSb1xaL/YuumuEtSUcY+UVNelXUWB8y
zCJbTZbDley6BnnEWPCVqbporwdTfwGENtxAUtECU+nfRVm8OEpV3aaQZXMkfIjIZna9tzMVbLeF
neSSrRUPHxcNxkzKrCuwmzBfaUbDUBx0tODpLrSrMt/kYBxeYrKOdBT7UDODTqPGB4XdGkh9EMZK
py8CyKCjfs/MiKZOj/WruqEo2kzU8Pdjbd4paXxeOu+z3g7ky0CEbh2d2bdnJ4B0hRM37X7suGL0
yLSfyPj6GIX1dx1y40zwHp6UFsA/sD9WDbdxLuAJe26ySWPbRJ7J2cHfEPmO1cU3uKPPjG3VEZlb
AdLQFqTTDRFjyevO65Zo74ZTG22Gtv5cJFo9PLT97PCWyKbWhvAO30Tl45Opr+fRGrfdaE+7Qff2
s7DiY5YtY3PPCMgtWDAbBcYSEEmIw2Bo0IPTIfiTXkk81lYYOKt4HBipETR1r3ycLNrWqG33SbTF
LPEZnUudWXXUd/EeHgOIaJsxlVyF6qStq10pmJREU549T6ugvUgbdXaxEIiypwO8iN/dVQfPDEne
x1WRBfWqkrfVqo0cM7FJm6I5pauavhqGej+KNbHVKKJrNSK3Y0K5LIDpkeJLNIzXE7CQR7Sy8ZCf
sSlH2wLBPxznqIJhqFkFU7EziCI8PAT9VbANkY1hBpCrLSCXenVNVlpDEgDOqdZvLh4CefETMIxy
Oana5p5W0vrorsYD20asGUtIPZu5XnDjXTwK3mpXWKDS+WJy1BnPCW1eO74QbUzjcnE6kEnR7gAt
054t402+RPMbgFuEMqPj7JB1s3hHJjzsJ0wUYnVT2E5MPnBMzOwW38JwDIlIhC6MAyPJhxceLKCr
+nw8oLLFqJGHFaaNvl4NHHj9+q/mxdaBEbW7Il/M242YPiJc4Adr9YEkqyOkLd10nzsM0uMFhnEN
CNPgARuUzpqftTpKzLbEW7K6TEIvi4+2ElOwZnOc7R6RNU9sF62abl4NgNTOJHIlwWTmD6G9zBun
i+BX1F6HkLNN3gawwBWUdFcgLOfsVcaYQzQ3G0i8BknrkOCbrT5Zdy2yfq2azHkjV1dNvPprEn1y
N1nOnAsoqbeVZmKc8IeGZEo356komkBfiEeXVTuRqVcryO15TdwrvsJl9fe0i/fF9friGMn2G1Bo
zECZ+kLHOTAInPEHDTxujBbHBHXjYUBsu8UAdzMiu+s78CNWQXanO4zynuEjAY9adxPN6cOw+pJU
nN5NfK+nkNRQ7sb8JnIIepvsDEPTlERYS9AX2ju5dC0SaC9CHj8OPYNjHFFIomdfkagpHpohiewT
zOcZ+1SnR1Vg8uQkLzCZ4Bkw85kR4glkW3pgg6DXgzhEUPwBW6enPavOnGYQWrDJt4lkPAumtHQW
n+FvnovA6Q1jPiBo+iCd1k63y7hQynRZLiDNQyJGZGtYvslwovJ1MlG/z5UxEYw3LM2tWZlavK1Z
TjxZ9TA9FSS6nxywWOehKbt9M2sYN8eCrczGmGHSksWnOPpzeGyEBfSHmVS6wCg4Md1Ms1/nlARn
6rn0NOrewI7SdIoHdxmY1eoFvhxLBiiUFF5ZN/rWMMLYI5mTd93sNjvlNsbOanvmUAVgEz9r0Fb6
ZKRPu1iPokcxh/XWSYuehVPGnMPDeHdI2kWMW32RA46PwVA+TzdUARXNzrmFthGzMWprwobNGU8V
KMtR38luxZe4mOHSTecwuFwyGKhzByJqu7A8Go6QzoZzHmfaUWsam8IvXFck5OR4t4YEywTlYmmS
XYaXKqhcjySI2BrsLSwh/XMn09jYTqme3rtx2zzA9VYdyQcMnRB0yj2slGnXEoBzgJmBlI7AGfSB
OpYzxEvt3D/l9HPbsCO6roDQI9mxTDOq1UTs7E7urR4HEmGB/QCwv1QEM4BVxvprjYco0RTInqSL
AmvSihsxr2tIKqAm3xS2SfhAIvQndO6E3dZ6GG+iwXIRoc6iHLlcGLcnTMWeObyXwOJLOkMj+yKc
jAUi4hLcTNRbjZ9nOsAlsoPjgOC0dGapANGpZ5OEnN6Oi1vQN8gC7Swmu1zG13R09c5TRX+lSH48
2rFbA66BGnHf5awHgg5s+F6Udht4/Ggn6GENaWp0hN+m0I1fPGruT+ZsO+dQIJ3fJPPoXHU6pdk2
jIzIuy50yTRwdp77AoHjHK5dbSTFDgc22DYmYMeWdIt2A1zK/myhuFXM+iAZJ0wReZaY3nWezvN3
hHv0nE1ivHKeJqdEaQZ0V2E/j2MGaYexpxPutCaJLxJ1Aj37ot3NZW89DEZlBdJWGBwRbgfIX709
4cJDIKdxBHc7qpuZZc1D52Stjw5w2qQyw56S1fErTsqp8c2qEjsjqUgAq1GsB405spaoJhYSAH8C
jY3Jzhx15xti0OmKtKjlxm2W+kOtUP2wbazSN+yg3Uev1PPnyABHsyVk0jsxPyYqjyXjCV8SEVRc
r2e9iex70h7VRulgpcxF5wUWqfnMieoAa6JB7a/bgZThsGGCCwcly4tyx6xC7pkqgubTqcVrL1cf
qza3CHBomZs26W0SQdFJMdbdpCAyzxwS45YbkJvFGU0KFk4+K2uTTaw1dZCheGc7axTVJhvnxq9A
lFAxiPRcJ9QoeaE3FFB9/jVGyY0iP49VkDSD/Tb2lfpmE2sLBJ897fVompO1U62o/hxX/bf//03/
z5pnVV3+//3/dfI1TqLXH6L3/vpDf7X+9PfAHRjygc7w4GHYNPF/tf6e/oeAFeBdYCq6FDTx/2z9
3T9g+wNnYGRg6wjJeBf/J1WzPanDp2DLzNDMkf9O62+8G32iOTEsBhIOaiFdCN16N5cirhPDb94Z
55LjAGL+GBXQwFvJlh4TUGlDXojnorpKM0NT7JtK0s/qOa4xE3gQ150E/J6BEzVddxMypR5qsfSD
9DtHJrk2PlY4TiGen3Ak/vZN3/05O/u79m19Z3+bqJG9zht2+Wp1BodMVd69c7ejegnbpT1f0P5G
THiFZEdyxaGoI4ieWUv/+gWZBP/0kkJHdCgkuj6bX/PdnFhLcqumFYvOjHquSGDV0k0+MurfpwJL
KRCERmsORqvjb1SN19DTiNERNFAMHncyio3qGDrwM/xldPhWSgCFy97s7enOLRM86FVJwlq8+gxy
0+iXvQjL/2XvvJbjRrZ0/SrnBdABJDJhzmX5KhrRy9wgKFEN7z2e/nxZnD0hkT1U9LmeG4X2bpGo
AhKZa63flRdJq5MpmEBRQltp0GCQ2tRYlKupRyEajvQgrwlg2QIyIKxFPXdFxcAmqT0u5cMFCOnk
Ao34YccoViMOWd7a4YmAbHVt3++CFhXMrJ29GzrfGpIOs97GZvY+SwOf+aUj0qLxIBGs3ZDcpy2i
I1KDYFTgeB5JXPHrKBQPlmXAMojdlu/WNogWzwEIoaPtfycRe5jUK1F9FcOI17lDIHX0Ca8iPpE/
K5xsdQ3w2GCJspCBYsBpFlQP7YUoYSReL+noGrQos1N9EYgYolPXkJjihuQow2VhyHK3NGQ4GDY1
wueKnt74ZouOOxe3OnSArKCpPDaVB7wzNCk/FDgoEQHutM191ad8OpEMACrTUiN+M8wkibRoDDpP
SVwJ2lQ027SzaaGeE0a4T/0M4Dj0DT+OFgc0s46d2wiGBwn0bc1Nek3gcSRU1y8RrhjVQS7k1225
j3gBq9jmthDqBolgUlCf7+el5LEOQgnrIlxgnJzOZuuuvjk+KRA8P50i5uMaTOohNnDuehmG8SoK
x+XW8ExE5rBTpoNWhHrIzWKL4GFy2lGfYGcAuue4o7spB5Ft8XIIN5mqad7EOM0PUOC7a6bPAKN5
EqDkoojEjCHp1NVM6seTMbjW9ThU2Y2NVemzoDk4QByT3joWhftchOnwuaLDnhDKsWSjEfr8MA6d
t8bUkjueEyYxn8Tk4D6qcEJ/woG27W5fE0TU4LJshkbHRJAb4jSfzI52etcSW8BoI+8pfgk4IQBj
sYHspSF+QJfi2cWUMOPfM5kqla5m8uTvahoJK8wJuEgcHUmDlbN6bikV+jWwtfWALw2PJ0uN2iFg
bOTZIkYk92JxiZjizvByEZHMS5lW5RjsWtOo2i/nyBvgI14EY3G5wbGohLM/+/Yr3BcqhmotYPuQ
QBg65/pAXqwP9Lxk3diFjtpyy56rwFAhw8DibSOBZ0q4L66vRcG9AuAiQFg0D+myGMaT0btLfUm1
bjQ384SufZfNNtvvkoPhPlK55uldMBBSita1IXNrwP5/IUOaGJI5515SunIvJ3MEBcSDkxtRmdAz
A2xxJ1CDgLenqrEmWp8XcjoZPLgSXX6zcQb9UnQNghsSWJGaspljlxj3Bq4tsE8j58uUeb34lATQ
9RGxWWn5w7VH6zpyPCpsTyeJrwxiHqaDG4RN8q2xGoSsK9VjMmEHXpd+btghrAhbjkU1n8q8KBwP
bMMI/K2bhSQIidTiN5ksp1NbuzzzTifzJd1iT589yu70p3ILISCAzDUZJLlJ3fMp5/xZKB97tKjH
gCCWnLKyZIJ+jIQNQE/aI+Q6Iw5NbGAWdFFx6F0Xtul/oUcN4FBZ9+4QTuOaMqx/xMjH2CKpiEg0
rtq13TMaZ6Id4NETxKTcxwPRi7Y1q03k5uoA7cIZsftJaiOGwwa2uZOg70UCCXAOCjaZ8lgxdHhq
VSXWdm5+M+BZrLoCUVNK4byKo3HyDlYqwu9ZG7g/cUAkwchqMGDMnMt+bGrsGbNmunVKN/ym7KHY
5hxSG2Af+w7SbfHNklG+E4UJ18Nd6JRM8sFv/BB3VbeiewRJTbOruAqzR5G0LtOrttstBl7VRGFN
66JB2gnptPo0ZEt+qaAXbHsUkLds69U3pj3R/SDxjXTNKdk3dSt39VxPKxPcaT/EZXxPsk72OOay
DQEBCkwDOMBwCK2XU2b4JHTZkASGeiy0QBLqRDzY5QOHTvWlUHkVbZKl1QazZvkZ/2l9a3NUrZ6j
+mLtuKTFV85kk0Iy5JswcNu/44bwcxJs5EEsSbgbUfpeq7B15SYyVTGvpplyYNMStwcbKi/3XlYz
UYLcWR7daBK7UJGrGpTV3pyiftPwHb8g9IP6gaeNcyyAw4ftDBJyXXcyuPeryNmTtJbulOE7GGwa
C66Gs+NcG1FXX7BhzwezKOYjfZJ/XAib385t06w7ZNnrmuEjOs7WeRjiYXkxzSy5wIF8uWiKxs82
H1co74o5TNxo1RhBASrbgL3UL78Qiesyt70kQ4Y3dXR1KdFSa3PUgWjSgI+FMUV5EfCWHz6+6hvw
lkLMRYehYIFT6WIJqKumX64qgyVyo1H52Mqyi+JYxMZQdYIa4+PrvAGpztcBBHPwUxTYzZlvqq8h
Kp2+9WnjJCQ19lSzYc/W6mg16dCTf38xCAqoxCiQIWC/uZUW77CBhbN/OgetlVrFetYHGCBZ248v
9b6QBZRHYE0tblrvPRvr0HcrYzKdk+3M1nWh1ZFqRIQOEa28aF1oL//6ehZ9iMUyMR2s3N5wASyv
5LXNcnVapih4ej2CisjkxFCFpjS255jHj6+pb9fvxTpfTgdCgH7y8N4W60CGEmywkye0x1RXLopg
Qsx8sGok+jq/XqJvsddGTlAoEUkJx8fHH+D9IoWFq7jPJg23UOabL10WsjaZ0zsnJqA6qA2B5WQR
wfP/cRXXQq7nAPTSmfz+KmSkmxVB3DqnEAkviVyIZl1v/pdsCV4EtHe+5SmldRfvuPVOxzBZGXyX
s/LCYarBcIdh/cff5R+WpfIBExk/Ifdj1P37d0lBJpClluokmGrv4ybinXuNLD9nzXXVhAH4x5d8
v3+xp7Ob8LWIv+Cyv1+yiAec4zNHEgkUYLmLBBpu9EAp0mcQVAh8wlDhNVrw4+u+31k8n9QSiBmm
7Yt3b4QP1w4bbSVw3+PtDkr2yQ5EZLMkaP0/vtQ/fEUWB9ImanC8od9uli7OWlwqF+iUtTI2J4po
aaEnZ1Kzz3QHN+lV8/FF/+n7kdLrQTBQyDHeysQG3BPsyHesExEXkIxyJAuZ6UV7Gh0e6sfXOnMF
fn/VfaYTSkrp+q73/k3TnGeT/QSqdMuYObFyNa6Ua2Z31bA01yWGfjAXZxJVppG6DuLt3F4PNQ5O
O/irkuaihC2M18WLhaCYqnMpIN97qUNyw8cf9f0Khzxhu1ovhYLJeis1w/R5JJIV+zZBbiby7AAx
fDIZnJdAsSy1xKes//iS1vt9CJEhb5WmIqFze8sDCjPmJUTDssQ9g1p38nQyaoen04vXWByZURXo
9Z7E1nXdZ/VXBOGLtbF1MHrdihrL/xCsYkeVhGIan5PoX7/1sNFQTqJTs3l2Zx7TL4e5WeOZOXi8
9fniUXSbKvlmhTDl28wuYhTm5p/GOO/WJqJC/TYwymGJYg73+ztfx60u+uflROSNfG7xkklIiiVK
jJOdbvzj2/9PF2NuxNDWgT7zbm0ipfDNkHzX0xSSsZYUuP/hiUOXo8yKLunji7171Hwzz2NMZ9r6
xHsbRpSnhoXttTmfnEDRWIaxZtHwItIlfnwh8UbajBSW7VIXD+gZOdLfVkaZHcUTptkjFUQTtTcm
PVy/NojYSB8DgxTXiwryQLOVIXYaEdjzREfi2kDAOr9yKmudI5kyJzBGmiXIvli8wMxpDue8cZ+p
F3F7mZ5+jHVKczxCl7zpCqzW8j9sHu+fj4J/BE2Wcw3x51tNYVzgBunmbXsSOoduhKV4gadMvA9N
oqo/vmnvXn5HaQqVhArISO8dIxKFv+iGCaONBjkx5hXntD6daIsDenkhi+mP80N9ev2yMcL5Yz8U
vPqQABEgv31KxZLbVt0oeXLqSf50HDGcGhn4T+eBiOO2THVI7lCP5TSJP+x04u0SkVqkiVjT1mFj
cJCV/ftrJjMEBuhckpOF52VOsHpCiAPWvlgg2GI9gi99x1YrlZuhhOx9fc5MLWyIbwdCRVBSCB1f
bPY5U8Ql1fOaunF1Y9E3/P3sV9HkTpvgd2fFN243G3B2yjFWB+hfKTRxMqXKW5W0cPz18soMDoP9
3DVWdRrO0cb4fEw3apwYjbUB5O2LlMER+ol6CN2NF0IBv1KmkTYb00rz25Fpw3XjdMZ+krFzU86W
sRAaU0DuHjqcKE0Xg8RLxtJmAa6pen8VyQagPJUg/HBVFqzAyMSggV7iEw5T1hr7GdVjDmVFNXB2
X8cKCgfGX5iS2kuiVdUZdK4FAy4rs17GxiMhOTES3hd/ItF3a2EHGN0M88TfdRxEeXRKRpRIdvwg
OjhDSldU1Av/danJFDwXn0MaMHnxM13X1JWDr0pB6vHfTMuxgCRJRktb52by02PoGdNdNS15dINK
KCsvwVeH7rZFfJNvkPPwdpdWXqV35YKchPjZjlwUKMhETppIjUPHKdM7t7Lalwne9cKEN1HLT9sp
iFVuakDrtQsDEBM9M+YH+erqWeF+sNxXCJvhBotEXg6vEc4VjJEdGS9g0U6FG9iGOQiTq26JGIR7
BPHYW8SD/MYeGRqKrNEujvWU9Mb9VMZcuk4XTi3fhLZfr6LMbsWnArZLd0fAR9QCHKN5uKFfxS/K
ml0MB5HvyeMwNICGmDEMxnqpCgybzimeaglZQQX5Fagu3TF2L+UQWOMxwmIp4Fy1kLMAzTHT8qq+
XfZTRg8L08Bnyhj25tQ8WIUib8iLFQusiJBXXxtxw9lwrgOY2bP6sI9i1EDQK3MzHCYwlAsYhHg1
07Zy+ptEx+DGWzChfh3BqQxC2sqOJutBwnx7joMoCrZt345QqXTYMkot9hZ4RfaRPPfEey5UrINl
1Ww9WJMVwYLmVKzXokPYsG4cxSqqPUeLzTLFfRWtnpnbSdt/R5w8DrsJYeLNKzQDyZOwdlsXEmRo
MY8jHuI5txI9iW0Yz68qHeU5WQRhrs/Hn+v0DBkjZlfupXLBI1Yp1M5khx0G0ZvofHhN88oAaciA
KMejxH7d3iW+COPbtqj5IBbEqmZXZaK9Kxarnr71k2uTpoRpbJreeaU/9VdqyqwHJ0kKCakriOef
ngGSsUUvLuTtbFUE7UQztbHN+ze6ZGwpYICoXMH80GtFguZAEJKd7X6mME87JJlNh6khdLmhwlc1
CBAKrNnCyVbKmpZp/ZwxlMSFqVg8RhKozWBdmBOjNibknaYSLP2QjK8n/v/ipH/CSUm1oCb5n3FS
3rEu+j/r56bM4uI3ojSFkf7R/xCl1V8Sfr4LvKZo04FL/xst9eRfOFxQ3JiWpDw9c6j/iyhtO3/R
BDOmoXOzBT/GT/2HKG3/xT8FS0UDpUyw1n+VROC+k5TD0RY2xgPMT3D2YDj0+zHqpgi4m6xNcPXS
edwWXDH2hzbk5RRDg9yyG7CKXzGFiBhDixmJWgE/DbhtaRlmitFhw7eXCSZgqcqwPhhZaY3NqgJ5
gvkS2e1LHuNTh7+TxOVXqyVVhuhb9rxpswBTyyrKlSEmi3o1wkEgAVjn6uYLnmBAfeVXwt+RR5sL
r9eQIBFajQWme1Yk5DPWeYQaI7Yu1mXBkbDqsaGo9gLPugZLNEP/yHnnTpN4vhF15z/B+ebCY6XH
NTgMEaE+oVHIY2t6dWLUGeFIQKvJZT8VRVqeSsAM70Qp1L60nk4a18bZqzM8C6lIQxGSVHSEdxz0
qZZ9wp+QlMdChBScDNUfiDkF2BMU6GVp9Ad7iGycir3pprDZPaFgU3c4eUtssdAIM+EiwdMr3APm
VcEcInO63Vf+0r7gh8cdeIUw2gyUKNDY3mQ3/DM50XvnpVLPc6jlUn3IB1AWpu2rMeNqpg2kmQSw
Nte9jV3IyvEnvrXUhbKX2tQwuPEHK6Rj4C79aNokjcc5OI4bXduYPV8SaETG9hhPV0kQD0e75BwH
5uVnXsdfznlsmYPhOBvWNXf49YGSs0uZE+qsdtHrJwxdZLrhkbbtF2R0gEqjppZuJk7lHE9Pgrhu
jVzwFUr0rGzxQ8SfXptx2HIYcctHRtbwL89n4giAptauAZCLkDRXw6HCFcL83DgtG3uWL0a5Gsbl
7yjQwJU5FP4TDph33dIqOD6RIwmGj4OnRbTJLXRzX2IOSp51ZeXioZAsQB07yqrNWejpJPtgRygp
v2kJBH9iA8Vni/Qi6kyM2qIzOOx2A6tBNHi8oxzoQMLPiDCtFeUJgIEeKIcti8/A+GMTDOJsA4Aj
MdNoCioiusCfxpqX0PUnHnAJ1sKJ74NKQIEmAvxUJDruOfUzYLiBJeqsLF7Ly7LyHXk4OzoYyUAt
N1MYTbsYlh6+4Cnqc5sUbaCYMWfFBBY+f9MkuWRBLB3jML1OZuq/r71+RJ7dEUetQCM9q+WXdbUZ
7xlmA2zpDPp5GPxtJa3qa0M019N5CccGYOic4jdQ6pc90Ys0cAZU73bPLTl3WudeNUfTjo8tZzZa
Suk/2cLnRuoz0Ib847FgepK8LrJCexOfXwkMReK9E8Mexeu+52HrPgeNVf3a29VoK6KN06Pyh2sZ
4J6CP8aqatH3whxAw53BGSDHr6TzgkxNbHmkoNQB0PJ1TCqyV1y9NjXRwsPdEcwcVeeabGnuT4A8
4WEQeL7O1KNiRd9vg70gesJW179cam1c2Z0HzWVlgYpmxB56695tI/smOdf8RtPO7Kcg4RuTdvVA
HWTShsLwULBWNjbOdc0KKT/f14YtPu4WrDKirc9LQbvS4H+5Ilx2ussFHpB3cztVV2HCeC9G7bG3
Z97ls4LYK1LgWDw++T0IQyUEciZ/SQfqaZqEGHS4DnAHc6nrb/C9lYjS+muK9frBx5ByH3SReDgj
oMjrQGq9CALpfUuDK3EXxazWXvjCU6oNGAxf8KCwOrQeAnNZqlNYuiDidpED9ucBtnsJcR37XgrK
s2GkA89iPRSJGcFuLWZmtg4eYYHTtvFYmxaahglUANZbWNYDWBPAt5pHwgOb3IY7ipU4eXNtBzVT
AyWjr+vk3CHiPNZweJ5bfJ4kRyG+HXy9clyL0JaTTBp+vQiD9iVM0Y/GkWJ1n30N9dprYmUlF7Lq
m0OPZ069O695KSQ/ZHZ857VgVmXzNB2yV+OBFhf4le9p6mNkGK26u8VfhQaCiHH2t6btvE0W2Xo9
+jO1a1V7UATshQf5uqXBgSFLngkHSwnhQdMfE6+t0TEOcmy2lWVYN9Lh7cIJ3U/W/cjttYG6z29c
PnjyCb3KRBJErZpod95ZQXRoV0ZCIJ6s2C4KaPWApZ/VmeSRSb1LWQMzNhkRGw/Bz99izZnfWlEv
QL2LlyKa/GNTVfowIKeQw5lUZdB20t+ux0WxkWXUD/3aK70KInxEEDAOj3M0H9h+bAyIMSChhFiF
JZ6nkGEW/yIv2g7JqxtMcDXa2M9ulyT7mZgY5Hlr6B7hE0cp7UOnch5RYfLWpP3EXss7CeuWLQbz
jVGoZG3XjfNSFvlTGVrNyQ+m3hxXswfGvHbs5gF7P9J19UHUOkX2AKGnuuCM8W6swjUD3t3B3tF6
wsKxECLDRQOG6rNwPSBGeYzdWpGfWQTfanwTDVHWUFAx8Gk6d226RPPif5FbuTEeum4GM+urCzfx
mzzQTKFy7fvd56Lud1XV1jvDcf0beGerJHfvAiGV+Xl2IL9rwgRh0LgElzm7qnajkI6DGN3sBT4+
FS2vI5YC5n2noLjWMllXpcgPllVDHY9l5a0Nmdq7tBCDj9gAl+F+Gk+wkdN0bbgj8g1RVNG8mx2k
NgefZdmsw7ZXyOvRIqAzlssnb+rcE47PHHPxVB/iyag6bIGtR2kNJG0SqPcpXlLv5IqA1WtBmoHP
W25DvM3xzagm5scpYroGSvOVC0cNGrqhpmeUnwmuxvkjHVedXWaA6bd1iqeP0eFYg5ds4yMBsweU
/I3/PUJCt2pHMkIWFtm2Vm688ZoZui0ZlQdzgB88Tyh7cg9nERyIE2080iZXXhMl8xX3y3mh9yt2
C35MnOOxCZFsfPTxuNylsdvs3WD8hskKbKTE/U5I4nwXqbnYWFktdnbqQg/qVHMLST+i/Cmgwk75
9CPp4VklLprlsW2vvDhabsnrxmvZ7XM0aYbcB+QmXVZ+LLdh3T7Ufk+P1jhURts2R0xHx8wWxRgK
xh4+0CF1w6nPiRwRbWMclF+2x9Tv5WVpL+aam1ZssUElLMYpy9VU197W8CFzJOxYK1ZIekNGFkQN
okiW1PrEIYDYSw4FvrOGc8wae74NS3Re6MgOwmibPToyata5Gkia9PsDifEY/4IEfG0DcruTqvGv
FvQ6fZyLDWQG8w75jndZzln3KHBIvZzzKsOdA1MFojKpXb93A5Fhm0CI5dRNRU2AYldie0nSIWa3
GB6xvkX6IJrAI3/JNq5Np8bJ3bFcQl4lNlJq3sEdyjGAcN1nI82/TEadkmvgEqsxNE27M1yWDdRz
pCjz0vV7E9/ztcL7Zs3mD1OfaM99EEbdcSjUS0XrvxWdBZelMrXRdGEd56SxnwOYifUGh+PpC6Se
LdV1QyUYm8Vmxtth20HxfsCRwrpm529Qi5UWVkqxcA9mO9n7PMLxpRUzcpUxs8bLqDdcUsFsfGF6
NhKv4d51yryD3ZdZZHxmzUwtXi9TchcH1tSvrCSX2cFd2iF8YfMPd1EialQGyC4DwnVxciaTo1mV
cF/2+PMZbExN7CCm6Mcng7gJ/EMdoBMsja1o01QdHUhUb1384K7ilvcitrvxCfFWdiS7DZvkhlSL
ZemWLcHX/M/EjXcElZiPYzh5LHHmaNI4xUoXfmykME5+QKoIL8M6v46Grv1sRH5/kTfelZMWcICo
Bu5zRHyIGxFNrEAKg+6U1vUcf26dqjePeer43cmorUX0B3Ytf2f7dl+j0YE6i50+jVvwKcCfj2oW
NeRqUnHpfQ1IDYCalSRjNbN9z+R7Q1ZqFnvvIlJZ1Fpk0jDxvjFMBGGIbHr7qxfBCd/BdSL12juH
KmAZovKL2mz4/9NSjwBNlTP0IVAB2prqqUGjM4JbjFDm0elIzqa4JrrhZFrLdDej83+gFoVuBw3/
BtEu9dkvHf8/8HVt3Rv/Ov8mrx1gSWPjHsFzZ07zrzwRdzArDFPq6FA5IQdmiMWwzkoex8ad2KTt
trivosyTx7nkFN1MEFfSEx7fw10vB79FPzbi8II6BM3r+Zi2OqrqMyEjlAvVRBzifaHlYZQUuvUs
fAxVNkYe0LylbsMcamZO8fJaI8c5VMF+0U1JMVcgIEEM8jQkC8a/HCvPsQaHiqX10HwoOFTL66zo
x/R/w5/kI2czJ/ev9GXxBgmW3A6siNF908YABL8FuyMLBQVcZWNvRxgqI3xYGC96va68iolPzzqE
zCy8wbgvxEIvN+URH2uO++V+8h3uVmhrxFAtZwc/yV+5Wfw5uXy47blbtUXF9xubhKaxH3ElO5Qh
DTkZgxWk4HAADX5lDDL9pJd00nlosTOz85ePn/07xw/f0tpy5QKvm6ZraSn7r89+8BHk2IaXHQps
0/C4mqe+XUdOWlHqYB/IV65yHOOmtn7OkYrd1R0ThjOpOC6n5i4v6j/cfuufViMqJXAzCcWHw/P3
T2So2lh6TvtDkzBgXjkGs/KOQdJTy2CGmwBswZ0TwNDw8O1jpQ00SShjVmw1HKTrtq1050Q78vGt
eosSMWHCdMYTmibjMm16w4HooyCLqy5ODkEJVYuYmhLa4yKxmP8i5wXoV+Y+RXtZKNgsq1F77H/8
Af7hWcH3AIazAI0ALt/C4mQ4WOUiuvCgJt9D8lpgu7/pfSsQ1xaxviE9WVDtYzuOwouuCpYCUWsb
XIdFZz14Zm9dyxIN7h92j3+4LT7WeaBXDuM/ODy/P66CfMcySmR4KAztgEWmW7jVljo+jQs0ty4W
NAh9DkCyMYaw+vqHe/IGLdQ3g8ujxgAAMLk5b1DqAjUToezErakZfsohseoZ4W1be3nCA4lmRENk
Znv2Q+oGxtHSXeqrCmKQdSU+SWceUlApJtfRodODpqoOiwR3N0WrX2gS8PkD/+8k+k+TaMyEWBr/
8yT6Ki6Kn23Z/T6Efv2p/0h2iLz1tEU8whxto4sZ9H9LdtyzT7Tp4L2h7Z21mue/htDS/4usWBxe
GGBrEpHLCv6PZMcmQ9e3lQ+/yFM+v/lfSXbIhv39JDV9CzqWwBdEk5ZMYb1ZjTYGNXlHB4g63Sij
ul9zwBgbxPQB2YTWhKRM2pjnz/ZQNTuE4RbxhlVn/5ymDGVlTiA1ioe5vSJGQPrlqraxbZuWTMon
ywfn34yt9T30RPiYT+SaoNZVnwcpuysC/TrcE0ir28VlQutVYrp3FY78x/XgTH61N2ixDlq3StNH
3gOuprdZ09nfjZF0twt0ERP5i47oLoeE+L9HO0XdfdkuNXV+nzkjkfAyt/uX5CwjEu2ESqM0qd3w
b5sJ7VrQH27sxrTxNLX7r/gKjqgeenJir1I7JqmjRptIa8OzvScPMnfWtsD7clsxs3y0IsR1IUqM
Zd0gfnWO5BqTItOU9b0je3FsUfjtxZS8ZDBEtrEb65xbArVXAwTzfSLih5kQiBuHzic58E/sKzLX
gpxYT6IsusLumlWDv9S2s4znKZUTUzGy2kkNcoEs0ahva0hoGPeR67CBMlur7QLh6Q6NoroafOZA
Voe6/NiTew//bPEZsuaee1/psHUMEBCtYghsG5ukrVRGSIkEI3SbIPnCpCjaGhwn6xTzMe5BhZS2
nwqm8GXGFu0iyerzkdEV+zQqpXkeL7q+C+mSwyraurGz3NVFKGOTJgKdQGqRc9g18BZFNx7mZFyK
DTTGgQYzqJOdNwfBQZa5+FIt+MOsltZYHvyMFmXVhaMbH6hXvQzXHK8vHkPPdV1z24P2TgYq2cxn
Nq8rV7M9EqZS5FjHZgqpadgSBcGTy6yVUhkTuVYyRqrk9YKf3nYyA8oD/EGPsKjvvChwtqT5YWOR
lmOyjhX5fbKsc0oKH010D1SxyhaDEUarBDGXSzCQhecBBRjuQzqR86fEMeybKzVjW7CMC/VneS3r
pV6Tq7Anjyc4uWmxK+BIPBpGdDvhHUalwicMl4kxwDB/tcxx2UFmD3bBMN8zmGyPNflkW3Likss6
N8xjpWS664JanHwD5DGFWLFtDewdGSbGJwmpEaF3GV8Y2bwczZpXUziZePRn8a3oPPIzrdBdJVFn
4I+YDLuycLvuRBR3coQf8L2hFjk1sQwvajjym2XJzS1JfnvOxHXLcG4nUSGnSF02sUZ8wtrwme+S
HUGfFf1US/0Fa14iKeHBM0IxSbkh0N1b45xPZFs/h5cFjbfui6s94Rb3XWy0dNuxtYLwHqxlk1g3
fPrkgoEjg9gAyvkRqWH/k9yUeeNFNjeHl+1Q02bjhImfULgQNV3Xx2JU97Wd3aVefLlYAQyJ3iQh
eHmInW5fmq1/crVE2CeIZaED90zsYBLufuhEmGbIx7au994MqiIMxNeqR0JeZd12CJB1hIF8QvUO
lIKxyMbKs5+ZJPhIFKODuXPU38dGcYW43lr7HUEw5EywCcbelayoSpN8QtPAnHMlqM9uTeJbt/nU
MGfyh5G1VSGL53k4exD4dq3bw4PXZD8Wd2ZUJkz/5LBdnvoG7cYU2Ml15HcJISd2tOGtsG7DqL4F
ktsaHl9qKYvryZPJc6Z3s7QP3Ao37Na4qCoh72JRO6ey6iJwlQRwfar8r24dfTGNFmBdTH9HXW4d
QreFLBPXTOkJnMVCKfBP+KfZ25Zt/bazR7KhFsc/pgnTNae5RZBl7tgmvIsyMUaXUb3TfWZf6cEu
3WCgl++S60T0w7ru0m5v8qB2Zln3aCtUdGdPk3/VTCY6O6PbyCT/SiCZWNP94/2Z7wqipFdTgonP
UrR3DBbZXXDwIykg2REoafPxSvkcyZgQvIjToQ4wgbL8fZx0YIQpqu58Ce6pZ68qo24wpemSRwSW
j4poP9CB4bld/C9OKI6iV1ob3lckO2fkqopx147NsXSSPbN/zAySWl4LK6z3o9f8KNSstqpZ2oPZ
iYcqcFMWcAqnnnHGcKHq0byOLITrfnWZtdGTkwpaMfJLzFLiakP0EObN30CZGABItU71XloZ3o3X
2vs2Tqa7iUeH1csQkhXqLN63FCX+l0x5zqaxXV41QwJGuMMVBpnboU5P8LS6nRpqcYE9hccAu4oR
cPlltE7nzNvjR7oco7I7dBW+EXGQ7sn+idehb1SIZowdh1m2XgIfq0RcKyEoyV7+kAbPCyzI8K7n
xZS3Ua7jqdymviJ3FCeRcSi3ZDZH36sJ+G4U/eUU15wJY/ZoSWxVSI71h4WDNfExjG66+wFGLibt
+Y9hKg6+N39J3DTbDnwfJGxlijuUGzMxJogPw8SdJNpFMJlQy/VEWBjJgkFdbXr4QBcqViGjSnte
tX1ofw3KvgJRs9JiZSATqrYYZeDCClRxExoDzpxlE+GZxLlWkWB+mEuVbCzLqnZFX/WXAiQOvaGA
RtObBHDaxmNkjPp4xhKndHwmcuqaEZp4QjZYfDLDapg2cs4knpHzkvR3RWJ4R79Nl9M02I9yMqvv
WNcY4SHIUentFLO5dmUz22pWUpZk8XHOiu3Q+T9yY7ixIhevVDl2d9g03IyFYUBlMm5zwLVPpEZ8
bhsbMzNmlCfCnj/jHJE9THF6AuzptlBoh40gIfIb26s8jDguPSd4nmxR5DZHHCrENimHaO8QLrXy
vCpd56nky7bDVx+rqW1hesZVyGTtCavzcQWM4/3t9IQy9wjKViqys+fSc+d7dzRAPHvvq52qak1S
u/tECFa8MQLHXNPsJg/E5Zko+6Dx+kwXV7aNAfwk9UvEA0tA0myiulBi8V7z8UK4NNs8eama9Pts
Gu6d7xfDZ7sdthhgRNeYoysMcDmy3QQAmFlUIyPoWY1cVWaTXWD0WRJf1ktqhCK8skR26NKAETwD
Faxo/PIOmV6NL4cX9bckWnuHxXXqz8biH8punh4G3NF3lh/78ZqBb3xZdN1LnXo/2J2zXY14fgOb
qH+MsWhxCtsH88f5WSE33mKEzQEBzWvTCVLfIiUgAhplItD82ehChaovE6sFd+za+TKXo3/AH27a
YHL1Iwtza91PWWzdVNVg3bNBtoBXvZ15K6cbI23REaLwY1DB4dUaxdcaEc1F6MxqB60hfjJHZs6Y
/YIOY2872/d5ZFvfofY532VckNi8dKG/CiJmyBC4tzAwAXUxVkd1izczDvknt18M5px429riU0Cj
YvPeFk0fnEin3ORUHliLx0MYrfGugiF70aDW26X5EN77BoWodUWhtc4Jdmz85eiI8QVBhbOvye/a
5Cg3tj3ZbcgkS3CFSfkrDsk9Tw2ERHYrEqirTVaWCdmN/behk/hhL1W/KqrA3qgMu+smqDn/0vIA
6ET4WgAwguI6O9idkKuoSf4fe2ey5DhyZutX6RdAGebB7NpdEJyDQQZjjtzAIiIzMTgmd8x4+vsh
q0qqLHWXpEUvrplWUlpWxkCC7v9wzndgAesDeyTrnCWZhWHVVTt0K/5NmhQY2lucD8ILMDwn25wZ
1L1KenunGx8dnJltizNvw4T+Cf1jsWIRwXTYtmDa1/W6cRRs4yw6KncqN+xP9nPJc1eokYlNYBph
pTFHTsHg4HSVHCcpNEEf0joglZU/i+TLELQnlwJ/q/u8xCSVPgHVrdhoB3hUkW8MbMzXmeFj5x4p
DVm7gauKGZeFuNsOwEnu4bfYO9J8P/Oye8Lf6Vw0d7620IKWZQl5aDjyQ1W3a4QuCdIYR91qLIEI
2NPMZ+wfzarNi+JpbBukfCTqEQqp2dgkFOmzFS7FBGsPhKIKjWcxPxEBgDcXx3CYVlH6VShjbYze
DOmcp3zM3RXMvmLljn70xO72BHzcPiubPASYRd8pfuE2Js2GDXsFbATUymj3mO6bZDvnXfEEZASK
I3EFWzIvgo1tU+yY0ndWrJfyWxFzuEyDKLaB7siz60cfeqPidSBGyLCDGK9ywpQP+9AI2aNR9Rjg
e/U6O5fj1J1NvYLcIocQHtSi3tOnMxzto2b4OnRuNjJe32MFC7zhhP/oa0W/Qd73m+nP78zKdyDw
uhNt7sSLIfB4zofIF/1m1jSkCN81X7JRcBv9ZDRZvZdC3cnUuinHhOMxkUgJ+lRny0h7i63bghXU
70zgT+gmsxsf2x91AiwY4T+ROGcBqJzfR6/7jLr4o6oEz09lXbv21quip6oH4Uc7FX/RNCJvO7IU
CfWbw9jyTsiuXv0adHwQVDvB5bgyY78+R0QlrrRSN062XV+zgepMazI9bLuZgG9B4DDE92qgPNPu
Olf2/koU48yVkAF7MrkJJCa4OtlOvt8cFE/wl0kl3ywButeKhmmVWGzK2D0RAEG2ZfGWV1lRbdLU
KM5cWTbe7crKKfAqogLMRJXXoTXbfa+NLOgzV7Cg0mIV1iZxv2ElsB8x/kdEgAyXJqeWT0PHFqUn
nfhAVS1IO0nKnR2U9raeZkiIrBW3quweJzXD9qiCS+B32V2ZasZ3J226mzlJ3WNt+Wpv5pM4dsTA
bwFKqke7BAPuK/OdHj67FaVNgx/rF3jQPRmNVXyy0I6GaN2cW8TLpLXP47izKrJPsp5uqfdsbdui
r1+rlMEka/tdX1r2OsbBTi4G8/u0aeM1sw0No4V+gTLNxrvOrI2Z5NHFBVgBPmf68AsE4YXpgY/I
ecUoam/LLi8ZBU8HR/UY6If+jBGcsqJJQCKI4AtE63QtfThJWZEgdamdkjJIzetB8OWbAO4+n50Y
TRePa0GYvUmOcjuaANNR0yaVTlQt1YdXlDBD8qLfclw5G05z4F7QHzeIuEDr1xeaKf++y9ih0goz
cbHG7K0XQUAlbevilquaW2igWwCkFNyUTemvapERAR15zqoTRagh4VtVhilvPOBq8J/ydN8I2wgV
qqMVnnb9phWyPYLJ+i5nViJMmVnTJa/mnJ5Rf0Sbkazju0zxNlZMmBFOmRvYakOo4W9GD5S2awFZ
5Gaws7vUxGYvquI2dr1n6F/NjvpahmPN49+M47Y09F08MO/IwV+FtcPKncx3vpTfgW9I229zVeNp
b28nlOTgXSO01hZ0CkmfZVplWJA7uhrahF+PZFPyTEMoF5zKjh7tkyqHTCJqh6JlOg58UsNuyYHX
u5YzkhXamgLwo/eyjxTWlm/LuxEGCLKlCQKTlCDR2uc6Yk1sd+OGVosnGb152PYNRHgj1c+z0Zk7
H92AG8xcuqiPEXwY92jsDn7WbebeFaGUhGzQ6Mzli7Q1xibDMPhbE7UzZ+c9+s+J36hvN8Id6Lz8
gZwj2sGWhR7yn1XHRGBtROlwTPxF2WKXH2VbBdcs1ngjfWcnB4kmZrTmJ9+w77w5aNdjbZhAXfVt
2zjeylYqc0MKZY1Ea2+COelljyy8vvmGPDezeSN8990yTPTZ761R7NCcfFf9VNPmpqQ/GDPYtyJY
y6wMjayGlyf773WrRJhr4ksitWQjFxH6ErwhQHMxVPGZlcB/jNdlySwgMWbKFgI8siq7UwkHdNh0
yh0BTtjehaRX86hR09cAHnJ0pD1NeS8nCGQdNznolQISQS03ZTOWSFhabzVI96YujBsiZ0K0smgv
R5F3W6Y4eEHzzlmJ2fBY0huT7MiymdXOJh4CkYdrq0OaS6T4nGrtCheLcgpKY0kcwkhF3j5qyLua
beHDHQBsKAYVWpg9qhuXHmHi+DA7YmXYBEhiw3mNnKhm5kA+tA700bc/GjF6oiUFJmiYWPzvzOt3
36rze/Gt+T/LIuCT4oJzLmn/789/bH79M2vI9Xv7/tMfCPFJ2+nafVPT/Tc0O/zTXxeWy3/5r/7l
f3378VX+6STe+WeTeCIasAf9EZtt8rlk2P33QTzKoQC8z8LNwiv2OzjL+QUyInAszPJ/n79Dy6YX
dJe5OHQAnum/zd/Rh0MLMHXkZobuY8qz/535u2P9aXOLgcszFyst1TgKcHIjft5FKcMlAgul0XF2
dKpMgkLcvl3ZoF/4ALp2/6bHhQdOx6nu03oqz8vEfMWqSCchOOiyjYHm4iFrxTxtlDmKCyIfdDuu
Bi8kQJMzBql1JPbGYMyYIthwfFyiq4rEUi4BMEiEijnJTZ8P1UmPWRWsKjM/EV4h7rzK8neFHiS7
yIu8nQ32sgUTChq56YS7m9NEHVgNuLddsxy1c5NosE1wYaFr8s0bb6yGL6JwoUaPwFtCK+nIe9GW
yqGsovtK2oRlAFYcD53+AWe3emcs4N/OwoqsFePVlgIS7efAKmCLdta9DNHo44xyg1wP0abrB/pe
ey+UqX2ySZXfvToNLlZWIkeLCvUtHs1IhklRG3dpAiAWrKm6txt7gJDroZ+aRDYVoZWZiOIqOlQH
BRzTRos+CkjROdbL+KapZ+2zdImTW5ECg5lnluVhSuVrH4yS7NkF3JP4/VNSt+0DYjSS16Ejqo+F
iPTKqSACJsDUnC7hJh2jrAAzrl9il8b0tjL1VB0SJxAelbuh3iVuL3TL9vDiIkjjRS7zjzxt230w
p+3WsNP0c9a7/JTq6gKC0TkK1dZHFc3zTR1BHy8dr9l6o9+Ya0XfgWxs6kwUMGYsXul6GajxKnV8
tUJrtmZj5TeT4UVk0RUuv+gYcMkaUXcyELHsM0dPdkSm5I+wDpIX0abgCoeytijhx6raFK6TGQwC
cLoyM7MECByePUbWdnfb2YjlyZ3XLfiWBqyyZGYlnscM6cOhKZN1PltkcsGHGgBemx2l47jYgcsc
S1WdJeVdCtlpZdMOnGJVzWtnnkjpUX5xWxNQdzJZQcGNLAbmUszVuKecqo6fybtDzhN0sf0hxwFg
NJc5dX9OJ0R4XrGf6xn3FUUfdZhfGme4NsE1jqYkHHxtUycFjf3Ur13lnNM86D9LzxIHXTE+QvCu
Jeu+6SZ69WS8QQbkAo8O2vIpqLLoVSvcWDsymZfZJoDz+JU5YNOtEn3o7nsSw5HDTsJ4a4M8oqhD
r3g1ulJ+URj1wqAejHfBsIeSdWqn+wZOjr+3Kc4bZCdBBR4K4RNE1tFeIQ4muAEMtfVs9XpyI9FA
flDw66Q2Y2qKQ0/N+b6OS/9L5unerXDGST9g+AseZ6aUzO5YNrETY1aZr5HAV8iLy+IdW1rwxOj/
Q9OHeu3WyiL4zZ2+ObVixdUgmyw3kR+Vr1lMiYGSO+NmZSam3lqPFg8hWVYf/Khq1wy22Lm1jhOc
EnOkZ23VFVEJqn4JvX/DLYz22Vf2xsczGVIyEzPUdw0jozpd20zAN/PQkjldGd7R0RuIZFbCWFMx
2d5BtOZEYxTihVpQ67s+t9N7s9ecXZXqYlxrQRvZG9tT+pspElTmNodpb+owUYOySLMdsW35IZ4s
eWYYhjczqCxEX35q88J6RfZCTpmcqNqYdHOYRYCj45Gxs68N9Zfem0Dg2Jig9wQ2xWiq9Km52OgL
PyvHY9jfGFl/NwH15XCZyX6qEFQiTLHtfqv5ifxCfNTwTcLafIMJa9xasGqLTTs0/rSynGnJHYgs
eUmmIBJr30SS6iZDBGwKBW5o6PVDLJp67YtgYNAL6bMAhrR2S+9o11NLyFmZX4Okydc9auRDJjg2
K8OWu1EvHuPS6XaNAnWd4ptndqHgHcHUmkqWFr27AWQyf53hXWFlMMBnV1ZHxmSVIGOD6pBdEA/l
fXdj59ItWxY1Q52+zBq6n/2ED0Hor/4kmHMzqLEMGLcdm+DsEo2RtjKDzL0YGSr22cjVPdhS/R6V
YnzHsThCMhHzoY+HZ+rU8l7ifb/vjCYyyYLAzjBAdnm18G0yKPJKKlr8sM8+XkcOqYGPlU9a0Z3e
jcUdREe5beLCQbUhbKzGLFPosRmBsl/j2Oa2Q+s0pWdUax3DSA91p9UUxTkLdH5cV2hI2nOasAYX
MR/1gKGToRr3BM7OvbCeM28dp4zo4uY2erB95R6yVAyP1HI+jtOe6tiatelC+GBX7FpNVhiFp+gc
VHX9wMbJO8T84p8M5onkmpSzg5DZbcdIzl+EnY1EiyEd2scG8RIZaH2mHm23kbCIIYY5nEddasw3
Zjt7hyRNGIEM2Z3MOxBk0rQuUcXilkNWRPfDHC1bC5OlShVXYTnbSyxZV93FUOZ2y+v5qKrROAXZ
rPYcF94uk0q74E/oaWjNgdV6MCdfoxYYH+pkZgNKjoA5Hb2djhNbqStug2EXTEFw6LGuPKsIOXVv
YPnh8+Qiku0qxYDKY4/QDDEy1XmaSMvISpDvnRXI62DpBSvUzAKiH3jGBqGavs9kbl/oNKPbGbfN
oeFixHFiDmdsbp96hYzSaCyzWjmNI19TRnoEJUTi0FRavYN+oEGe7jlqePwSLmk7t5xFW+kR1ZGJ
OzYhw5fa84a1aA33zaxSH9V8yScvWQ5NvA5mupuHgexHpUyzeiin4BUG4WJgSHDkwfuSnRHqpW8m
LBaG4C3VIvEACqCRdy6q+mZveRAUV7PrCgfYoSH1k+kyz2F4bJS6BBSZpPWyr+eVr8x5elAyXo8I
g6atlbjeFseQFyZA66Iwi4cr5hZ2oC2eQOIGWi15dWrLSd9Nl494OJlCdzZqYLPNWN5d2pBbwxjH
nj1nLFK9O/LImoqtUI9vp3mX0fxG2Tu+sLYtP7N+NJ8DNAGPyNrrI+a2R1l606awZHHwZFOHXkc2
m1eN924+v3EAfrfT5D1r3TevG7oP9JNUELZCp9E43ZsXaNne9fz8Thr5ZrAL7cSbg00KhPihxJ7+
3ZqXqJK2lkgeB6bxcNq6lFCsamqvljOIKWSUz2iqViwlHn23UxtsSfM1mal32D8NTqH97/RFcHhV
1VTf2587oR/dzd/bpP+fuieYHuCA/2cd0/nbh3pvxM8ypl//0W/dU+D8glDNtv+IF/6tgTJ0+xfy
1clmRlH3Q4/0NxWTRauE6M936bCg9/wRPKz/O10TG/I/iZZ87BuOYWOe1Re2k73gUv5AlsmtTuOU
TfqThVm1T2gb+AAzMbFQ70/lCQioPdUF+g7OZ7TlHNViObWd5fxulpM8L3wO9ZIf/1YtJ725nPnj
j+O/XW4C88elYFqKNemcdq/2cmeoH9dHv9wkQeunZ3O5XcSPiwYChYl3KGlCdsTWuV1uJIz9cqv3
fsGVp5d37XJz4XvgEsMlI57RxAzHBabXrcblvtMJpHju9ESD3+BXwX2e+MW9Mttnd7krGyi0jLG5
P13pzPdcy+p+ITuiC18uqqgdN9pgISLHq8rw1RKIqIxxYydEWaxSIfPHjhXzu+cV2E+aKkLjMuP0
l7Ju7kBMJS+yEN0U6lVWr624N7dB4hkPniOTe2d0s02v2+QHaXo5nvDHmSdfNk8F/Ql2XEB+LDl7
0B9EbM6PZduJUDfGDzGOLCgsOO/AX/r0JNOS1rSsneYLAOKB3RXv4VOOWPjsD32y1dpkPqpigSok
kwVTtve9BSzAHivDQ7UEI2V4nOMLY9JsiyZMIH3CodSAANvrQzWcxoSwnFIziF0zCkigLYzTB0yL
He7RQIQtlcoFb0Gzn0xZ3npSH052U057NObWe2Zb1ZFNZftAulw+MqnVxIbgKtbhKkEwVdR0NzNn
/FYanrYGiFheydK1HtrJbt+Q8eXfJ7PRH82+S1E/j+WlaBztbBHhgtK+feW1ohqVYxncycYvXi2V
9lvDr8t12Zr6ZigFNBzd0VBfqZEmomkuRlsDBhnbMQysPpUrrNQxhGAtCD5R7tA6SWVwLGuzBdt2
ZOG1sd0yuS7JPMwAAtlupoiUEKx7zIiBMbHXst97s/dvfpABUSDWZ1sZZMOUOkNCcwZt28TjdjQ0
7Oe9FmSnegZXkce1j0HIxUFWxtmdXkM1SUU8X4ST1TXBppH2yZLDL1ZR3BjBSg4uagomLt1Nmboe
058kOaZC5SvUqdl6YSu8sl/QX9SYjSc3EORy2E13i5Sc1q+qZX9VWjy/ybw2nZWW1+MNMRzxY0Ca
18WXNj1BHe/63qNZBD5KI5CYG+FYLZGf/cwg0MB9Rl8oQVAk8H/XbtN6gsKk1Bg6+LjB2NxEB5O1
9AGif7P47gw2HdEo8Za4KiqeOUbqu6nM530ZS31DZ+NsiA/CfpUY5bAjGpsrk75mo1ACXoq4iC8q
sc21K13rS04LCT2GVd1LEyWEoY7kBj1QJVhxSGiQRta0kewdNyqO3czlviowkkVhr0mn35b1pIPE
tdAVEf4kirPGjufZM0pJXrlbRcRBSBlxkqT1vJ6L6ivmQN1fkYU23lqzV0y8NU4qoBv32nPcN/gY
MiiDEWPYeIT+ZWRUnRmBz9uRIgK9CXavK14W40U1UdmRYUGyh9zmbsVE6tZgcDWmvHFx0UE7VSQA
E4MUD5PLNGbUSd58ICXNnNwnAlzw0bTLoAdpFsC/8jjXJnq+sMUkNdZruzfF8KCyMfY/7VhESYny
MtcH56kAnyG9jV+zrtxqXddmXyevrg1BnLuhFBcXl9t/9Mz/bIpq6RYzzr+qA/r3rz9XAb/+k9+q
AMPgqrdsrl2dioKp5d/FzMbCWvtdvWxy70OO9VxclvCwDIqP39TLlsNfOS4Wbt82zR8lwe9T499s
Lgyc/0fbC3mef6oDaBiXb4N0GfAbYPZFav+HOiBp7bEvVW3delHjPU+D7Rwmy9DoW+ZcX0+ku0mW
HNXRNQJpsMmSiE1mNDAgn/JdZzby5BBBY77CiRfnimkRYxX0PKhFa8mx0Sl7Ythi96+twBbbxhPn
ST2ZnMe9z3VYtxlLFDcpCZ4fJuMeuyTQjD7qLzgvcUL6WjmQHjwrQoVkpIZtis5j76mMVYQSRNd7
NPA73DV1taoTLrQwjqHnEAcPzsCeJsKqktEf4n1gG3MHpCHTP7IuJ9mYVaj4Kj1NEg/i9AWromK8
RNjx2DwhVtbXRV1M2BpRDXmHalL2TBvejfWOzyp/azVofY4wMac7mThyOkBHRx9VFNOoHX1+QPgA
0UzEFR/kwrpC9qiugZ3F93Mm+ovEl0uGYN6u4b/5cRg1FbNdrFf7gsRCGWZ2hbsBNs54R3UjyrVm
KySdxJSYT21dt95cr4dIr1q5jwwn7XZFZLIA3/kcd/HWUwA09TVMc1XqoSj98WyBoS6NkABT7WA3
RkVoUB1L5F0ZdJeyJIvNh23BYVvnNhBrUpy4sy3XQAbppFE/ngXm7gC8d56qYFVXiEG2HHsYUrrF
1ROjJ0wy/HTGpG17khFJPncayKi8mF3vtZiStT5Zcw+4XoWBcTCiG1OxBV5Lu+mXB8eb93gTnXmr
EfIIh7twh7w/tm3X1frZmIqstRB0Nw0wjGIlBhNR/GscJZg83zhcp1J9bQcAGuyYgLbn0fU/B96/
tDayORj+6sC7iPw9qYqfj7xf/9HvjY/9C8gf4n5My+CQYYH0t80RlnsOM9f1HM/EN4HW7m8noOUt
f4MZ7Ldd0++nn8VaaaFbczACJnKwdfzptPur0w+uwc+nnwH4c1ldLX440wBM9OfdUS/8cnQNebRb
jZsdHVub9O3Wwqx5dRLinw9OwAd7BXt+djZCged6AkGAKYEzFV/aqKka53tRBGm00zrqzsdukvmN
j0w2u2vdUn3pVeq9ObNbHhMjRv8/ZOY6WMh54EjS4miOkdi6RByv2z4rT1ktNQ7ApK5uYQDU0L4m
g5393IfxnJiIbHEXBG99OqHOI2MCv14rJ6KghhFgwIQPBuc1UaKZWbX2xvox9ggoPdP3fpmGdD8G
I5WqOCTqZQl1wiKctPFWI9YIGBjU6WRk+4SJdTjnic3Kb+vLfK7PFdtDPJ9jo7zQKycIXvu2gV4w
btAU6VpxLB3Y1vlKmhFKirXo4BmcfZMpyLCKcl5PksGmosNsGzmBPhBASoZFaICk0z+HIW+GeSMS
CLD4IcrGwXdcZhXSxKJDp8X6p8MtvmKKxCJ+bAMbxkniz9I21lTP9ozRoo9RmikKr4QqFT1ANWdf
sbVPjUPTUsREA/Rxldorz6QJ25lijNTZK1rtoCPkuwO/GK1mtHorzDMoz5ukPCSa1u9iDvkHoblE
sbHkJxaDyvVq5Cix3aCe3r2aFMsBqE9IfGqyThnxbOlWxUlpqbWrGrtAo4ZBXJS9JCu6rNwVq4Pu
4Pcj0yLUdUVRVmtwRvHFMQO0t0k+rl0qu7XdOtYqc+Nqj9A6uqpiKF6iUmvZypAbsZq1vr7kmfuE
2iO+Wtj679B1eNe8Fv0bN8q4ZhWJLq9OxivPQwV7o0qf82aM7nKzml4IstfgTHaIyyOICWsUFt45
CET0nLBL2o+Jq100XH0t426NDEdPWafIjXIcRYTKrA1Piem5XqRpUGncJ+ka5QN8GNTcqB1iAAYZ
UpkQEIY3hhU+yUOpTAhXASo7lKZlexhGtAJDLuJnq66sm2D2cDgbtTM8svLndvZrrDTrjobnuzHY
BN1xgdHY4PItwR9WBJCgSrqDdukd1OA8ZtJbN1lnWysbzdLJAHIU0+vNOWxj1fUXaFLmDaO+am/b
+OPbDBX0ijJAXZPcLZ8Vgoddj4znYzCTF0OyTGpz3z/yThebqaaamZqa1SqcrGvkNskRqZR6jA1r
fu3goqDIG0bzM6uUfqPNJZwGKS3vOORjsLWz+lsfyGhvOOSZJSO+Q4Eq5CEQfvequ1n+Mok5fbGG
NnVCR/riRWplgI6JT5irtWqne5AmUOW127R2b4YKgUnhp/kOhABD86B0jsOI4AnbNGwlVG6Bxs6A
VIzZmbNk5bh6elfCtTwCzBgVESzC4ilGm5WwyCastNWaNYr1aVMNHeP7iKECr0u78gg2Qy+vIxNq
hmOlB+Xamhzz2QaUeGk19ZTO6iGrNe/r6FSsL/Rg6ZgBtpD7ZtZz9kgJZN8UzCdOessy0c2aaO2l
8SGwG+92GpTko9E1DzMpKGtYQtWn29GD1cNc3VlRMH/IZSe9MihK2N4N9U2cxfYTaR4IUSSiutVQ
SNQ8cxDfgpTt3lo0N2UFFgUGGoJGYRggFUd1JH03fm9A8n7LkdqHTS9PROQOSyzeuCYh1Xo18Zrv
Lc2DaDAOw3T6AW+3kQghDW1NlP7CTihBoBxtVWVosAt0v7qKrFmE8a2Bx33BvvRNCpkKY5uOBpAl
w7g36Zvvq2Fxgot4sB76FqqrGAr88F3aAeT5kWVA6OF0b2sRRAtoEe8IccgUcpdcqaldqHKdTiEb
4yVEn+QneJIGmw56gf8AWW3OHsiMaUVcIggbC8gDDqHkUBU+64N6gjSnMRA/M2cXPKJOFbb6+Ilk
u7w3BncpWaMm5IsCMsii5gB5I9iBnRhPWmui8aa8+7Qr5XyvNPsr0gfzZHh904aTpEPOg2wjMWvz
IdfE7TAm/m1gCXFKdJYoq2z+THSAolLPK9Bu41Olqwd6ZT30iTsNywiLbQqRdJsS0b7T0zm4SkNV
BAqaiRXazdDsYw1Fu+hjBGFptCafw3hJpWPvMkZBWz7vn9lc+vfSpNJMEAM/xh7FqpGo+jhkomAf
ETn5rVMxmnGasr+tCGPZI5bAHOQWOJts1rJXntxiXerBcJfCIvgqR7AOKxOkLGWP7T/HLlnn/ITT
2hxqKH1O7dSkTDrFXRFpqMvNqToYjJ5CvdHHNfq+9KQpTGJuWVa7thu7td2N7ZupFDt7vypX5Ix9
aRvjI5N4CmauxxNOpph5STMkd7Yvi1XZVMg9isQMaWCa7wazv01HhvRDprvOprfhK1Ux0Zg2JKM1
s9XoIe0BBLu61+6GwJL8FKm69HFmGZtsDhYjnlng/VGJdhjA36Q4ApwSuxrZ4l9Y83dElvniK85G
QiVnnffV978kfv5NibQ5sEBcMEJCrKXD/4vIQVhN5CDs+7QlnzfLARSnyNkgixmnGfTnZ5D5LBLz
RNu1Tqmt7CbKr1mbW7BksnRLtydxVMbYDWQe7C27WgQXVF4alPmdMJP+JoWny+doRGmDc1Nb6xBW
UDASV255TfnZOkOKKQ5MUhdjC5gSdz/0Fm4f53a2h3pf2gVxqHVgbivD+ZR6fe0QjKxKBqckogMl
VrqGE1d7NZhvr5LETYHnzlQYOcmSQq/OXq2u3uLHaCSbraJb6YUY1npS3vtaK44wQOIt/TJeoQCo
nZuW0NQYzTVzHm8jO7+1Ck27D5px2OVuF+ztKQMIYxVXTZR36MeSbVvglplRxoduPl2DvjPWTNbz
XcOkct3ODDPtuPKRynXGruwthM2aZ13IBkIHF+CXBEOb7tH4AW9yjG+S3LQNA7hilcK2AaVLFmYP
job7wOqug2kEn2kxwWXRePwQru9d2v2rq6FxhpSbrHpn2c8FdXcYCxXsGU5qoNFn/1ggXMtT5wtK
nKf/9FL/Ui9lIVX7q17q/G34r/076MIkVd9+0uH9+i9/a6i8H9I6BupMj/4gw/PMXxy6GJNYF3Rw
xFUyyfl9nMTuSadvCsiPZwflWLRBvzVUtvkL+ZX85zjsGUSi1Pt3GqplafRHpgzuYb6Q65NeyU/B
PuvnYRKS2zFGITATdoTA2Jpd5Ndu/PyHF+W/QbUwcPvHbwIrPnDQAvI/y2brDxOrtuq1mjSHed8J
bpjRa2Ziv3ovrIXdbv76WzFm+4dvZfOyeI6te7rz56SOqmCcncXWvB858FZpnoob00TQbVQ1QjUi
BPYFRpHdODv2CmNe9U++/T+8nMiMiV1hl88tCCv+T7M5jI++M7im5GM5PJqF9+Knzfqvf8PlS/z0
ji3fwglMj5QQljLun9gFSmlTB1dR7h1jeBwd65l05yrsiCta6bPkKf3bLPS/eecI1PjHb4fykwgb
oCFkLOlLP/6H945GxQZM0DR7kEHyGIvCqMMqoH0UDpP8vLef7GjgGiS/s9VXjoWRYsVNQT8Ia4/5
IWs3qIhmzIYEYZM44LMKgHJVVNhsb/K4WjGsJ6bblEYNhhchkWIjecADYH2Y2bBjmN9+L+0liVO1
uvmMah+i+RR0xZodv3VOZBesATpY644s6ecpW1Lv3XiIVxh1ucVtGRSPLnyvl3TyKgpTZV2juHIu
TluKexd61YoGsoBe28bnri+NFbP+CL0cydjsY+kOO5ohthG3mAp65gzFd9vL7+lMP7GrXlu0hOFg
+8Wx1scvMdc934I4Ys3haxZwIdainuUO+loaqpLut8mGbyoJ5MHLkks9gZ1Ig4poCZOQZ9Z57nnE
QRgGmhsdmQ8+expNYZakbSgbHM5p33+zcNQ+jiDu15ORZec5kPFj6+Ll73x2kEEfM1BArzUOUb+f
0zzaZPqY3NKjh7BxiB8nT+nGiQlf3wwYkadlrxEHB/YVGMFTsiUfpQeqJ2GQHYItBUNHkiekjNqI
jG05KuU+2aWnvSSiVxfYi3wdn8CFx8oQ/U2u0m7PRJ71q1Lw/8lZSm6iQqrbKkfJYZaSDnpAL8Ou
BFVPVU1hBl8ZtWBnbvs0159h3/hYIuWIKSA1u7cu1bHxh/pknAiPjB/TRM4bSI3GKnIL8uqki+11
SJfgOE1FJ4pzdWXAo+4K1ZwiIBNvcvbbRxuP4B45vnFrjJa7Lwi6xkZILdG15bgrC+stEcrBS0KV
ss08a9zbECSvOirWnWbV6naOtequg+BmIoq8jUcWdigZc32rBqDSlevQvqYuOCZjdNKdCuzuJo0Y
ixLu5t6lyFSjyCLuI2phvgVG/CXrBGW/67yMfXwkJnyZ2Q/XehJP2CpZOveZtrMxIN4wtBHkG8KV
6jv0MqRuGjvTQkeESC7fTxi8Dk7dyJup0mk+9NipLsXEvcETTWAMKZ2xfgXbPL03GppfojuRCsSZ
dtPGrrmzRrh7bs7ODVsOqFMR0ZZLXfLdaDvxKwSaZoUVI69tBO+RltSP3nzRlnBU42D3/9g7jyW5
kTRbv8vdgwaHcACLuwkdkZmRWnEDy6okoZU79NPfD0myb5FdU9Vls+3NmM1MJUMB8F+c850oDIeL
MU1TRDTdsJZQz/bsYUPufZQslmNSzIYda2U3C1a2zIfTbMXiclED7cJUBk8VLkmWzkm5kV78hgz6
ORCouqO2Ne8SpJwHq7c/w+i4BH0V3QNmQ6nm8U1jNzu1TtWtqZzUCgxIuwmHnqLXJxhTzumVoRt8
Y6h5N4QwvJNVCdCCiDbGFGHUH0OUa1thmLfY7HYt6rFDanSETSJN3c8Z/2wUyuZRCcND2aUHY1M3
qtp1VmW/6Z7MySqu5VaPu6aO7AfXrYN1CQi2PJZ0WzedUdvol0z/CCLNxpYZs6delrVxjL8Gk0o9
n8M8a4kgCOvpsRJ+fskDaT4KkkoRgrmvqqKTtQLfWA2ITNcEEqKNNuPLyC/3MQcAunYTwXwU0ZPl
hSjPuvCPeW89LiDqlRUKNLe+OjnKN+i3Ua+HmeFfRWH2JUTzjPxOb70OnnlnOjW7Fbu/rtF6BCuI
WP6GR4K8TiZ21ARe5UdZWOqAlCnbVMM8vFTILFZUQ7yyGZB1v84lNxBDjDH9GrDjfhZDYz4gTHYI
hk/lhtBPhoZ5keoVIHYbcXLcbiVxE9wncnxn+YIgrylBQelynSkvfXJjF6FlkGDlbFS+oHlGh+0K
T4+cwea+mz3nMreToUF5N/foDXzjgCNSYiXyfveEjQJyIVptmtBN8Rn53gNDNApzzKm4BZwJ1+RE
KEvm4MqSQXzokgp49Ni5BxcZ77VMRHaIjSj67LvbgrDmfT7FfP19PD4Knlwbywl8ZBtT/mCT3roG
mg/IikbDuncauZWErjy3U+Z8HnsZn6WS87Mu7Q3Rz/BjQGOqcyfqFqtxypWHjviAyUCtQPcYGw7P
r2WmrVXYKCbM0IOPnI/Dsac1XAXNWHnyAg8Sy6yNlevuW13x3w3x32yI8Z8sfKh/VUWLk+e7Q2ex
Cv3f//P0RRVV2f6xvP/+Nz/Ke/EJBN6SwmUKiyJ3Kda/C8U8yFWsRHDOOEKaP/OuWAuTcYjOy1v2
KEzZ/ljiQ6YS+GzYmwjTdbz/RYlvUXUL+gjeIS/i/Ftski+oYABluge8sJB3YvxcaUQwzh++kz+p
FJdG4aeyVArE1NCr8QexBvrV0xN2Pepc6o5Dl5YUUT1Jkit/DCtIPP14U0gQgOSrL+A9wtBf//q1
f+V54d9lVMYT1WQzxHb811z5mKxqqiY/OETguDK2qXrY9KPgdV0zu0uZqL1FQVEHK10m9kbPU/Jl
NCDTbrk/7Q3pyEyniYzbt72fr+3GaE5dVsXX2k8Bsqd5yIBkUvVWR9GM9ccL7wrOsr+p6//0QxCm
xWYrQOfH2fxzpW0qp2brAroB0661Hdkn77Bvwon3humxsU0G/yID7W8UU49C/gNH3vkbUjBAB7cE
3N3I0iLzQaMdM3sgf5heZ5YbWY4hoidDGHD4Q5F0LTEEc4u9uvinOYkfvwORfAFrOUJtIf39/BG0
YyOG92BBJDYBQwQ15quRdKq9V6Vf//on/7cuiF+cftWm2XJBwv26BnQZoWFz4pV6yNAH5G78eNJv
TrDSmlvTBb//16/n/MnlHZh0QOATuch+7SstocuSOTCvFyXqlicKEe9d9HfsSm75X28ih3gWIHi+
7ZP0+sv3FyDoZMRs+AdFouYeONTX2g6SQ6b9h7/+OB8UzF9uV9dCI+Vx46Fu+TVLLQUgG+Dl8g/W
zCE/e5ryBBHyfpr44abCRrYmYsmhXbXZ3dSTqFLnkiVXKsK7uCvni8J1m1tF/8J0tqfer3H89uwp
aL2jJUG5ystpn3BtPpI/Vk6MFkzMS1GKlptekRcZ6+UE9hmNabBqz4Ock8Nff8hvGXQ/fUqmGksO
I5xYxg5MTX6+HkNcz6TIq/EwLEdosRymhJ3oI4CkbFctR63kzB1zxeG7HMNcvOmBYqXb9R+H9HJc
1x8nN3i6DXYQ81lYWXJ2g8n57C1HvcuZr8Rg3YuggCOlIDuvFWu3B8vMAmxgVLbtUjrEUWltyqWc
YJGLcyb6zOMsO8il5Ig6y2U+SxnC6RIfCsq9rR3J5MBqCAzKUrjEliP22q78B4bk6ZHcNKbgyCBZ
UUbh7zEHz7og0/lIbUkxB4EHI9BSKBVLydSHDKLr3nLW0qm7NZEV1FatYFOZsVd+aqm88qUEK5di
zGVL+j6xhiWKnlItylp774YO9VsqmXHjF5cbYynvgOaYD2SCFc9gyrKv6ICJeMvMgJowUDGblQE7
3IrIr/HFIyNi4y2FJAOv/JguxeUMfuZaLgUnquKS7qBIhmuasea3Ep7dm0mNaizFakzVaizlK0wi
g0FrEm0NT52KQvKu0QGwWwyOY2+UZ1SCDK/GcqAyXopkwyv3sDQul+9zU+VpvcbZaqz0UlwLGj6X
7BQ2HbF5ZKpRXDpLMW581OWoNOez6AyqdaB91tbkfFmnSzFvVYF/7GbHflNsFW8ogHV5bM0uWDee
Bl7q7BACcEUsTULX2PZbtTQOGa6mjV2PaEUrq1SP5QR3rMqYOIOOX4z+NCADnUgc27dWyCCAZ1t/
bEmSgCNCUNKixX23UVDhchT17aRIog8Z10HFztiS592mW9qguGiJOzPNE/QAkmcibF5pMEb3ZRpd
gav5HC8NVby0VuHSZKVKPk9t9mYVZbkZlE5JZqcla8mH2NlKiUtv7AZUArRuuIto4gj0WXUp3o92
afGwQ8Q8omj7xMJkcNJqvDCWpjBjNbuGwhC+QuCYeDM0jzH19pohDR0lhG2qfw4jb8MxlAGd9iXd
55DAyF1aUqWBuLkz+JZ2aVjV6E5v6aBNcPLa81maLr2taaX19fzR8QotaH4n4RzjcswPYmmNvYrb
RRq0xBmFszVn3dZiT7wCoE/oXBuDTjPT8nfVO9FLSirNuyQ98sXu1XAqfL8/Zj0URCi4ziXLB/B9
QJfWiOb6Yye4v4wpY7WXT1Nkr8zU04JUosCbm41oJLQnzMuoTObx0enNcmebVnw0IcFsnbyikZk6
Io9s4mRwnpWXyYhGAx1yuwh30ZKA0ao3pNE1Jwx/2UZWGDAN6QPa02ZGy9xPX/tWDdXZnKJ8E9YU
BXM/mStVWdmmZm+0SSJODjGHPmbbrt6Sv2ht+cTq5EniJgaY7gBNzOlibk39PAeDc01esHmeGLN0
myyEG88ypuq/gM0DY5ibM/zKVP0ee/DmYVd4T8yiStCGnngwTOoLIutjLFUD1UlPyVdVCEJkFKS8
OwhCzaoTJsUM06a7PHKalxSU3SYziY9MDOpCwwW4mGeCJD+H0VDNbvSpanV+JD5Sv89GbB7ylGSI
FOcoCY+UXxLCxmkOHN7XZNdnO54hTeLw25M8hD5F2i4q4Ao0WqB6PjnymOvAJC7E7WziH1ocCxg+
ouvZq0PQPs7M31hBrp+J82JApmzeSdYFmC37lo9kSGy7pObN0brNUndrB7F7LXgwYHDSyb5urfkA
ECZfBx5sKWoVd12HMlhRR6pTj1loJex4+koN3D8lveK5XlnNKZ3QlOCCdKy9MItmj0zExQJVGXcT
LxBvjJyTdw498pjcKXY/w6ZnLRjKuL0zPUZMYRZ1d4pt7UahzH5henuhM4Hfs2+qvYYEOayoF+0L
dzTZDvNQEKqzzyzd4M/EzQho35LrPk/jXWWHMdE23YMIF3VJ2yao8QYXpKl5o8Iy6KEfRf1e1f0U
7/n6vex3aDpNfAnXrOm5mt12RWIDC+22UCbIPjIaLoOwYOvqjBNzLBRATnweB2ss5uPH8f7fhvVv
GlZUeeJvt1KnL0p/mf7Ys37/sx89q/2JbSfxMCibf1iYfvSsLmspJnAo/HAasWz4/1sp8QkBqQdi
cdk/eNSN/2pZbf9TwD+H0DmwTEeY+J7+gcyPVdYvlTAtkOnR/FLZw/hnfvNz5WY1ipks0opD0CPM
WpfKxtcRVSq7iMPevRhN1fT3kaspNM0k7gj0K9tbJFJ9sc9gm2TQenrwfICekzWpnDYcTUUYSz2i
nIBxmrDG1SawndJeRUHDTGw0hnOUidjewFgIH0ardF+YU73lGO8j/qmHnoHSfZtV861WwQP2ezhE
JRusVSVzHiUENGFfZ+B/1aHILlG0+eJOy8rGD9iaLwH3p1wByrfuynLITloBtUH1kYBX4g8H6Rk8
mLzxXHAibMhjEnfhbBlQfI3gq7YUcDRUVwQV9sWsjlGPUJg7LKvf7B484jzoYD07OgW8wheVzQ2E
Jy/+jd8/WRuG5q8H0eP7yNTs71kwBRX1THecIR+tAUHzh9odoChYGDFS5BZBETwT5dBE6zL3zRd0
dzx56z5YI3qDSo2B+oCVWx17o+PVhT+wvU7BwuikDdZDUtmwANpAAY9LEov5vKYtIAOGpY1VR8Zr
19nuPdAOxL+ys8Wl8jWP3MEVOVlupDVR1HTiRRXL1icbTf61vIjHa7/Oja9zPATr0W7CUxaP8bvB
dO9cY9jYf7w/dCjqyJWtgI/yP48W4CTEBISZrWmFymFnqq7c06X28AXrmYUHXzKe9JZEur6LVx4g
fOas0ABQVbWca5eEzcbxIcxFNh+w1Ch7F7sesCl7XqqZFMU4UOQqO81OdeyVw1gX1jCzvSSyXmpA
znIn6skHD8hhg8O14FqAT3lKO62RHy6qHa3dBBs/yO2qmPMnZdj5fVyr6aWpY33pA2Z8SMmU3wEt
U3LD5sSmKuuii7CBU5EidkPaM7kX7FiTtS9TmFP4qBN2bHzIdMZc5c6WLveuCZUgcxv4lxJ478Ka
xfRaDtPed3Swz3PL/jpIoLdrwmuKipNrHhGAW0jTdkFqtvE5yyv+raDLa0oBoIjW2sEogHu5V5WX
EmuQ6buwCKarZB6ytc3Mc0OZEV4VskjgdqNb2Ys2EDtFVtlTzrpqj+6RuMRMxlAZxzYp/H0mTH3f
Vs6L2+bg61zzGTH8lK5ZCSF0S+E6zoQZ5VdFFCIz0ULKXeLP8JQ9q17ksOUpIuINOFbnK7hoeXWj
5VzcasOWu2Gaihs3ccSpi2g5YHxF24Jp0kLNbLcWRcUppgwhEtQa7PWQu/bjyFhvRV4YJEoUXtyo
CHDQyGTcGFaZcFFhzd4tI67tot9l/xKmRFwP2oAVaesrXODwBHw7u8CF5d60bgQPFb3yEl+szY5d
Yx6mZGUEzLQJLe42w2h6Lz30kKtQiOj3SaUpNKHqSGQV+V11kG1KYsoHcIekOaymlATqtcnfvNFP
cdMbqYI4G1VFc4/apU5hyYiY/J4ekjd6lvmRatrEidXElAO1Os3Uek+GdKe91XgUavZkVPC/o9o0
tuU0o8/q8xY4WlxqAJ6lK7iV3UFQ/Q7mppdyuhhCbBLxOOvngM9vk2+MKeBYF5WnN3KOkPOFELON
SS7JyAiXmEAucc0rys1uDcWd8DavrNVa5Vb8IL3IxMmZw8+yVJFe9HB9pjV6bIrS1ALtastar1XQ
j/uYXMn1MBVvBHY3W5VMFgycxjtXU2c8ZBmIuFVnUZ+i80whJZZ5iyndnxXujAy/eMmKk/yc+Raj
OU8lLbvw9ePJ0mRt+DUgX/aUo6DeWGIWkHKWu6imtrwfGZc8qYFCWxowdMBtABtceRMnjKpkuR8j
Hs/Y3SyH22Gw7oAF8ELU3+OmRFBlr3NyLK4Gc+ihyAxGUJ457aczgMdq2lTMRrdAcOYr5Qv34r/l
0n8i4kE/s+Q7/M/z/fuq+x+ylb//6Y+Syf/k8k95Un6b5FMXfa+YfPsT42eXsfe/3A/fdTy2+8li
mEtLisjG+SnUwsYxhurG5bmO0Idh3z+Dan2IaP446yJTmZrJIfqG9yEgPvxcMXWcs6VKkwrliycG
6P6ZPaxhzAX7GBfljtmw061xsvq34LGIl7GSMjkPEnxxj+uaesHuBHG9if2MXHq64fle3vdahp/x
YZGeSzpLTfja7B6g5bD9QyniXtDDVRuKqGpcD2MmiXLAC4TpAAuHfYk9iSNDVNBYcxROuD6bvCHD
IYkgixChIKC2y3jczLgovuoC2S8zhcnZZYZ2rmORjjdZHDpAh5nubM3GsAE/QbLAD+qW2MXsmMa6
HzWPqGqSVxbb/3rdWqF97ArbPg2zbx+DkXA2KK9N/2oWvCkOz7D9wqtAhVEAW8U67Epto11veMR4
yPu2H8G5Y1hKhUehJfoCXpd7SKDae1tmmMXXhB/84JI7w7jdBTsj5iR8n6VLr5uR5/cMP4ueEgOW
fnZQYj+XAysI3L7jTTjSjA5dWD7U2q+uW2rA6QL3beSiOrWIWMM2S6ufF7kIMZM3PF7muPZvAfhN
20bWfJGMX8EZmXYSQotKRw+M7Vx/FpHv34Q5z7PVOCtTbOCbOyXd+1DtPL+gOJ2941gX9TVwyeDG
Rc6G4cQJ3IPm+9v1VRNcAs5GPhnHSy4dWswx7gtirtyyuhei8W8Nh6slzQAPBxOrpEIwYS9CRQ5r
lbGiQJx/MnJCbcfOq64zinPjfnaKaSu9VJxQBw/gf7PO2SSu5eoDLjsI+J2wd1Cwmt8wiDWvijDt
59qcHBtWdcNAE2i+fhdGgd24jalX/GEKbseaJMVpcoJ7C7QfsRIzOUbBiOVh7SIVsMJRL5NLwyV5
MDaGN5jFiLm1CC7r2vaiXTeZyC3GtEwO9NftfKQUtBhUh51xaZGiN6wHyyu2tknEHaGGHN/tMXYz
F9TsUHd3+D5dFNPIJm5q3xD2SigpH0sxOVcxSmQC5uyPtDn/W/Sc/Mihi5i7EUpnfI+o+8irmz6y
6xp0UOyOA0w2jA1Jt8s+ku6I1emIvfM9399FLKeIwwsrtDqnVtbk5OXNkpln1Zq0PJxXgCBLLp8X
iHPGPTJ9vbay8MorCqS5faufY/L4wiWYD2AxcJn0W2Cf9S2+LypMj3AS/JGPrm0irZ0XitoS+hcu
8X/mEgTY2sBXmzkanhJU5mCn4uqKmONmq/E+px1hggmedQnD3BKAeLmGnqRk4Hjg9jYAphNHWCnF
3L8jGK1em0tgIRQ0cE5LiCHKdU2eYcl7OExmghe976xuM7XjMk8002PVmUDSg/Kumv3LFlPCMWX7
g9i9Gk9DAkjUw064dSCFgdId94PhGO/uzJMmD4EFhPN+9JmNTIklVhM+zDOul3vSuJFJRcOeJsR9
EmppF7oOXt3UVdeDb96RxGFR1s78bBqJDKOrJa0aSb9P+N6OSK+1Tt3ywixr/SWdvLM5W+ErW4Xh
MA5Nfl/K3r9O+0pjM8Jj7+Qa/n0X2rtmCdcbkhiumpzPSeMz/nLMdh3DstpBNSLq1uCvREYLi4Sq
qkm4nF8r4LQLIfp6rtVVOzCNxDbVr5mnqn0TlmqXUo1cIaAfrqXGbJTo6reAp+0exKi/TcIp3BHc
l6Lid0FFUfcemK8m1CI99C7C6C8AeJLB7kWfq8TSm0jEZH175JiC/YBZ2lbqGZXTcDCLqH2EwdBy
YQzGPlLj107JfD8RlrplLikeemGFn4HnY6Mdw9g5ytQpWDUiYz2ydhiyg1047kVJXvwuCPBc4Wkl
H7nuMufkh+TwjYbh3XZ1TK7FzNGUFkzZWtdB1d3L2YPZ20AOoIRK0q3fJC267SZ8ChqXW9Ytwi0a
2hhFnM8WoSJoYTXjBX6pAfXvRNcTspJY/q7QbbCv5r5+rTHkPqO4N7Zt3+EWINnozMCqupiaQR0K
u/Bvbf4fV1qOBsvg6MkjU9Bc46tGhK9neVZobYhPGttMnNwxjS6DrPCDVVS6DYHDCdlPGUtxwk0k
FixnwITholpa95awzzZStRVxa6NaGTWbWPi7/t6rvQzgK7NdVeMyaDAoPrU1k1quuJIgmg5bjQnU
UYZpdTvSXJ3tFK+xjwhMdjmXgUOHO1p6PYrYOVhM41a9dgyCj7z0i4277QsxsQtqDYbMGnvLAK/a
kdOp9DixGec1YCMIE3qsABrcxTie3qE4RNua3uKyCa3PRtB9TZIyepGWRPUzYVbWjvtYOq5BKK2m
bLezZQtIFOc8NeFjpJz9aKefQ9kROtC4+7kCkD+HtON2Mr1M/RRs2HNYG8+DBgnjbdXb5pHGPmOr
ZtVfotBjBJka1cYiEPTQW11ZAdOfHFKCQnGTEyS6zfSQ3ZZCnsuIyTTjkW5bABeBAw6Sq10PsRpY
3YtiPkdTG27rQr93afwASJtSivoimdkNDnZPtCqY9w1zfkTKMGrhyrjNUswAQ28dhXWUU27LZgs6
VZY9GJbECIja6XNskdkEaMv7ooS663rxFcUjWCiCSZD/v5awKnBjEOU+ZqZ3CqZwRlPZ4Wy0EQ5G
M9FcQXcChRLy7KzrbY9IcuNHvX1Ix6k42n0NrwPnQirFYzJMGTkrTYg/QoqdUDTuVrrE3JjpnolX
fara8d6ZY70DLFziXVxUn+n83lJ/rlu7q+5Df+wJxpj5rsPCnjY4sXu8VbR9U6mL3dihUlSG/3vI
/AJuVvhqNq59DZWIaFPfvW1Ey3Xl/l5YBVlSc6fhSCb1RV321UXXWF+8YmB+IN7J/QS93PGW1qLU
w8GvaXSJVXK2SUPn2vsy3lOxeHcCjOMmzod0Z1I9XlulFzJ6rk6KHx1CNdnpJMxMhFmRecElKvwI
xsEI8FOk4mzX6SNTMHkXjnG3r4fEhS9AYtldF3eMuLSx8gD+ubgyVw5H+qXRaEmzNz+1qD2WYhP8
9HXltdHaGYILq66+glw5NFaBXdUwr8NBX885JM+4pe3UhEnVxWeVQ4KZ9fgw6O6mFi3euvKKao20
MzkjiGuBIEwTPKAQwSYASm5zfLYwvF07cdHleo57Waa+fymLBhqIVCtr8tigk1s831iqzP7b+P1n
AGWHxuqvGr9riLhV+dOM/NuffG/4hJCfHGQDAjGWZ0t7EVF87/iE5XxyJQoUhPEBT4mFNfbDuiE/
WRLIHJKrf83Pf1g3xKcgAMfsgQejUZNm8I+G5NYvIhiEYbSdHhWzadmub/4qt8l0N2dDFyQ3aRbY
abC2UQU1TG8yeR2EtePcOrJReo/0mhIhDFGcudilE7nOwr4axnPzgYvwsgZMECjJ1r7DR7YwJVy/
NzJzLVHwr+q+zA7RTCDJTZs35nth1owvVli7En+tROyjOO1ERVleseX1+30VOIzV4iY9FWkpvtoR
pnyep43/m4F2Yj0C0Tl5mdOwK4wY9rSo6V1/CPfRDPjWZuXIOjGpgPvakoqsYRDEOZ7XDJNn2zEe
PdP4zYc/QgQd2n2Go95Zxn3Cs2hOL8fMSY4eFqnPQ9qx6jOhDa5UKeM75flZjBthnG7Qw4UB29Kh
UFu75hOv/G5u/a0GvbQJzBgeCkM9Dg+WftEgf0uGvn3UyDnTs2uNxkYntXed4McbVlMyUirlJNes
Wy9e4roCtFYrbbYJYUJu29KFoSt4CSfMXAbi/A6YcBjdew6OWaQIE475ibd/TGQYX8zDSLJ4kmCw
lM6ILqG0+21AhB4zPsK/xc5jPRutPNRVz5PCGxxFTYof1OuLk6FLs1oZro/Cowhn/9qHdN2RxrRA
YdM5gcDmjTHOm9TVWn3A7l9byAeI09kkEm6U9cVIy0hDnhCRvdWmkiCa0virp3JnG0dJdtCJ0+2G
yJYbd5lVdlXs3TazM7Lmi7NoY00tLltZqNNUkdrFZlPcGm4wbMu+kKfQ8UiVUMqV7wOoyM3ITXP2
mK8xCJuqIs5W0RT4YteURn3pRGY6XZllZ3r1Ce3A4NeY50qkbdslBZ1opj6GVeVwxlTHmSrXWZri
KSqhDCQ8UTvSDy8ZzZYksMclcjXgKeiunE0BGtS+7TQRfqtZ9N59Qe01bDy0JvVTrnoP10elF4wO
ll60CpA01vY4LsNMC3wwbsJQBZeSLvS9aEDkog70Mg8P5gQOsufw0CjjRwy8BuF8fdnGFzIsBzQW
MQx/KpUOczo6m+MYsdglXwQ5CKwvacas2fH5HwKckmLVCqzE6wHPQXswVeHtUA4lNwjisUjHTc/5
WcHr4s4OfVJj7HoiUwJ+DVqMOqz7/nIG39dsLGJ/1lXMr7mp+6JfqJ6GmlcpsqKI4YWZcKZhQfSu
xrkAHqFdc68ykhDjyI6g4kFMZX/g1f4mN7zkbFRV3kOKCXPOM2FKopVzf3ix6DX2LWxw2mpT30GP
TefboDN+J4Sq5J4yJMMh32VTfG4rW8+7tkGnsou6qXpBHoqg35+6+GGeqbv3aHBUuef/iH5liXxs
DzyJJoTVwVgdLVcS7Z2wp5D73IwttFwQw452VauvNH2Pbif9S45YPd/3mdXXhyGLBZPzcBo3fm2I
C1tr82oOU+vWIYgazoATpMU2jXiauR1w1Gxq0v082v4pNUD8bvzBGMfLUQzVhUe4+rzhlaBz+aHe
5iIKMVLzW1W7CO/8xkITdGtAMcMi1MX5RgapdcFAONjafkrIspHUJCs78SgeoMslG9PO6UfbzInS
31TjpW8sWIxHZHf9qzbRTG5V5Tjca87YM9Sf7W0hpNEeVRQ5a0iQpCBKXODqgv/AIcfHqGkrXUvW
U7SSPl0FMxdmIMV6Yq9UmysUB2Q6jTTka0tLbBmuVKhXyr7uD4jh7Gobwg1EOl+5Redgva475Lvg
/h4EKpcnED7PpDRLHHV6JNY7KE3rIP3Bu126hU3UhtOmtWJMTcDATVZpSE2YwYDAxy8w3pWhds55
YXX9Cr5EIa4GVVVXDBmIHPSbyn5p2vElAusarFo6JdJHEpAZ6743W73q+nTsrkA7wS+fhL4rSMqA
isD5Fd2KsQ8VlbFDAOhEw+a1HmxEvPlReGrg3vtnx8/E7r+D9P9kkI6A4K/rqcUN+8oK/qeK6tsf
/Rihi0/YxiwGV47wvsdP/FAdBJ88sicciGYSmcxPFdWHUt53wQt5qH7lkl3+o6Iy/zfJ0P8mv6Wk
435AEIGMwWfM//MIXfSy6U0zYo/rG1QqWRm51zbd43nOB/9v5N6/1G5IgSgfA2HyXTBA5wT6+bVQ
H5Cs4Ivy6NkDV3Y/iTNOnOBp4hu4bJo52P6htP1P9Pku7mP4cxSlaMy/SWX/4ONkqWzxKDd5vUJw
Bw9mzRCfiGlxbkfHPpZtKO2tzajsgQQ362/kxr+qOfiwyDkWcwC/Hkk7v3zYxjDROGoMUrMigbDI
Cw1WR/T+JQcaEaDhHDyFlvl3H/lPvmKXb8t2JN4MjM6/2o51m6rB94qjKthgZDRx7z1cfIJ6EwWh
w5z+8QuyyCEohYtIYs5lr/Pzb5qaxgj8EVN+bIScGdA4qCNaoph92/hsh738G9/DIvv5WS/Ozmcx
ASObXWTpC43rj+bcSQvIfuHYH7pqpIjvZKgtlt4NSmx/cEoe/7DUz35eOkePPIa7pnfLp7KuPQgc
MpvLVeRp745obKtbKapmImwXyYEYg/GFXNu/uQpc70/eL2Rc7n0sxciPFv3QH99vWQR+lKJSPbie
HTkPRkES8oWOcpjBUcX6mggyMZxYbU85zO3WFQ/cg9OdQcTWgQWJlKdEs9Ypptp9i2xNhYr1g2sJ
iH51Ucy+OLNi4fDrTSsvtoQQiXNBcGVB0KjLsdIxaWYYqRKSlCZr9ne1CwcGYoahtp1nVhe1MY13
ooURHCZ4yFaz6iv3N59V+URKxjz2W6YaVnqh7GX9w1NCbhKfdLFDavbGM/nIQXjXKDoWqg54SiVd
0mQwe7DIchVfuEpHYtdEkqTjVesEvXM7ltNwWZpxjg7ITVH3oNfiPFseBGoquE/HXqOSHKAKBlmj
/DUU/fq1S636lUWPfZQ93HHchQwz/cLub0ygX6xoGnSPi8R1oaAq981XJlwblQMZLvqwfrUXzo3R
GOLBbXGQJHPivrmBa2FgnILxlVkQ3B0cTWhTNYuuu85RfFIELBi0IQ0x1iqT8IlUQew8nT+4bx88
HX9G0BkqRzzAC5nuZr8JnoZmdt8kkIE7KuNg29iDa+8mItD8dTAaAKQ0Cui7b9dqjG8fFi/WPqC4
2ajf87RiQOy4fFhr6mu910Ofz5BRpiw+BV6YFMcMrw7iWfpxv9u2jhU/x/0QPPnoFcWmzToP2tnk
cJ3Ah3fesMbUr3FUc/M3RXAZTCp4qpH741ItE64MJklEhePtvVBQkFBo1tV4w4IIt0Ivl96Vu7t+
HaE0FuuoQmWFOVwt5VCMgJUxGxvMgdzUu2RwAvC6yNUOH9+/M7Yw+jufNirzvA0qdJjZTRmY54//
pg0JSSkmM+W5MccHg896G3ttvxmiINh1jeYCjpfbQ7YZS1it0zC8EPhs63VPR0Ga3OgHxAJ7QqE2
8210JbCwzPTcNlLX7gq8mTXe11T8i4q0GsN+l6fMRwkA5g9KclrN4yBar4fWRdI5aBSmAcZ+Mrt0
2DSRMYV3dV26jMQqvK70el0bXlpzML2Cehje+8lACjqkek5uhsmwhmf9IRfFMdPvNdKRYTWbBDsa
DBXWKLJRoriMJZ1IP9SL/HRcgnvQmk67wMbzuQhUQQ0gVfVT++yiMKcQHA5YuUc8y9X4IAtGe3EN
VkBaxnR23Eyu9aKD1YsiFsm5XLXTKK6NRS87xA0q1BbN4OfWyQJE6LZG2wPsb7zoPaM/gOVBr92Z
VoUmpZrPvuqi90bz2ES05J3KJJbn2izZ3yH7ny6hyRX84COaOmLbomRf1nP7HuBKHzba6KJkw8Ud
nBzY5LT+Tq+RGXle+GSXmlmAoE0hKI/OQTVvpfBIC8cW7xwagiJ6/kObi06ZPZfUlLH8jAX/ywJ8
Ge845riWrbCMEyBjIaf0vGieNV46F03V05KiTIcf+YW7cvt+pBGLwyfCPMW5dkT9/9g7k+W4kSxr
v0rbv0ca4HBMi3+DGBnBCA6iKEobGEWKmOfJgafvD5SyS6JUUmevq8wqMy1TJEgE4H793nO+83Ei
fS1jcDI+qpJBRkLD95gjGr9LND35kJCiMzPZtcyLQGfiEmMaunAreiG+5wXFmm20vLMZsjB3KdYt
vwYmFsYj1sHKZt37MLeV8SlvNG2+mCPZuxdm3iAYWBkVJmmTrnh6sFFIfCbKz8IdUSCu8argctSq
8BrjQXQRut4d/ZP6Puuaxymno8AjaNxjSu7XSc99wgrCOm/hMjoQMyI+Yc7gtEu6jH6qvNF5JwDG
O+t4GC8sOPnD0pgnoj4yHJiuZeNuPeRaV6oXqt/OUtznkVutS9UymxvyaFwTQ1ITEYNOgSOKGRRn
CAfyc2aY/PmKHat5b0WeCD577hg3sOKqoNzObomOiaipXjJhTrVLSKs9ty5nSjij9HqYHJcwI1m4
VySk6uuEX2kH8gpx0ySC9mOpXGqRqsNbZY7EjKfGwMdaMxbbxGScsFjILGwA8LfTxWQm7llTE9tC
DmHjVSH+rGeJB8vXYnlL7ZmHBkmVum1D3V0CPZdHCZkbs8uopFEuPNbS+hWBmZBocj9AgNrZXeRd
tiMfDZmaHutgjguSfEIQEX5cLafwKC14BJWJ1c3OqjhHD5iy3jdDs59eJQKDFbawl+AfX4JDwC3p
llw5YTOhceK4KEdMLm9bTEV3zsQ+ziAS8WQwy8cZ+Vq/el0CHazxDcijcHn0Rz2LrruxgALVVyN9
nL5HqptZiFYa4HfPhcmcBHliwxMhkAo8QuVV121ssU7naMua9VSXGQCvznKoGIAj27uvP5ZRWE22
Y/5AJRFoC9LTITvmWGdNswdBoa67gdo3d0cPWQcGtgMaR7vgDDrlEiy4HcKA0xuv/DgKtJlXwuL4
uYlpIcEAGWYuWSBEc25lXWUtu4XNsA/qTBQumkKmyoPjrEIlbdylbUIro7amd4FWWh9tHFzkQDdE
fY1VoxC9Zhzx2TKM8G50ZigZ5J/al3I23ZZ10THeZaWGz6ePtJeuqZH49KOnfH5mqpxYc7x7oci/
QQjRsJPXXmfcmQ0zV4xRCspD48gUSpWKlzvK4IIUbwsL5aqvXIsNs2GpehcsnyhuDT6mPueJy1o+
Rs1AQONjetAR+1ttRYRy5jIwu2eIg62C+0Rp+c42Y61/N9gqs8mSHqMwcm8xenk2WxVJDSZD9BAF
w3ZKSdE13icu1XK4U2MHm9Kg3Mj0Eu68LumNBlker7sRvhj0O7HLEUrSesbAckhlE53xyzLL0qJp
w/8haEjLO2TJXEEbierb0mVlSYdIe1CaFx+0DirK0NJ2k5Ob70NhIwhQ5C9nPY4H4AI2YDmGNbrj
HeXUBqsaCnTosqSbxFhuDT001s1sMB1TChTiQAxE2GXGbSFZYgCadGBIkSr6RkpF0tl5+qLF0tq6
QxmQQFfmJLyg91iLEv4dq8JLQYCflk1XnpLjBc81hUFf61ce894rFKfDeiCfwG6nfA+coN5QGwfv
lN0TmsQmukbCOW6UlFcSWONJMRi94dNmX8YEdWDny6GHpIy/SDNfubm9Cb3sxJSdbApu1ZU+VeH7
CkoqrAlhnsuBrsoKJy0FpKp3GUTrtT1cm7lxS+VXbAjl0l8sO7AO5lfBb07SFR2zwhll4O5pUH2x
apsPRPa8wlswUCP9+X5BCVIRDAB72IFbPNbDsoJEC6iE/YrVsAO6zdRQu7DNqa5ObZrxkOYRqw1d
XJ7IeVgSaQNiHtrrKR0TVM2U3evfH42XU8f3yjmmOHCJl1GKQM37E1FpHkTiseNV+4rEAIr+QTFt
xWepbn9/nZ9OP1wINyrCOI79koPbj6cfL4i6Pim7ap8RVkSqnYOHqm4bOndSGUuM6nJ0eV0Of3/d
5XT95vdzF2cGwkWmvJwUf7wuR/LMxJ1X7VWS2Y+dlqNtaFWmtqMTsX6VeTHd2kgCWClIK4j/4Jxm
EvbT1RdPiM0Lzg+xBOJ8f+YjG43uiWGX+9EKOIDMbiPu3GXVxTnHak9ACH/Vq4ZjyVJ5C0kK1Vc2
wX+cQn9yCqFV5cP+99LX26h8/vJfF232WDz/0LX7+oX/6toRdcC7YdoEDnzl1P3dtaOhx5FUZ0b6
Jk0Wdasw6PTY/8Le/d2zM/4yJFiUBZQhrH80AX0Vtb59tE1dmvwM/Fzm2xZPzcLc5B6ZkRrzSLrc
UQmml8pmQ0GZb2JhPYz5MJxINwK+0lcPWWgtAGnnLMo+A1Y9R9gmkcVgB8qL66zX79nNQlRJWZ1s
SxrI6xlE+EVjoH6Qk+ZskwkPjts65wohN25j4zphp330zPwE/v5kauMu6Kpg3TUWQagj1Xg20Epn
X3jp9T4+59xHvMIVpU1R1r6uEQetLEG5pc/H0tOvbcLffK8ZH5fOOWa8ZjNJQg0oml7aLEnXObOZ
jVO6Z8dE60Z4zKoKixcvLU44fJBBWCSWxf1WivTUT/O1TKajHvKnAL/6zCofkcChq6jnJws2ZjYY
T1BlHuqp3QLxzJgHReYHfCX7uHFtmoSc2ct2CY3S3LPRmQ/pkD06+mxs9XC81Zv0tNyBLqeJAMbm
JanAZbRhl2zNDHmNmcO/6kMHZuU43IXmeLug21cw7cILRBRPzOe83aJTCsPpmPaCSV5GI0QbW26M
rq+kFR9E1IuVSjn1Ad0dK/kQmekhVNljUydI/60zpTWFji1bFIDpYZTxS9lN15KR1XYyu23tVaTb
ysWeg/FWdRHAVsFRX5TcKBGhj6J+7nwWsGgTp1634vBQHruKcO9QW+5llD/2BuUwVNPU70ZKseVa
leQPaPV8Pbb6dSfIxonmI9KUJT5eP1ZOqa2GNHoxM/6YZcSnNFVHtKkwWEoG0knMb1jK6Z4IKwhO
nZ0BgTO1ddpyoSF2k3WEF+WysZIDKO77RqL3iSx1lyOEVFOBrJvkv3VQxo8F3Y5NJhRJRPNxEGG8
SqImPqe18xAr/bNbm1cecLSVPRrbiRzi2eqbfa2GO8rmfRxXHQ+quQ9zPiOsStkq7eBK9f18tMsp
2oxkB5HCZJh0W3gS0JvBGxC56Vetfl+ExpMHBNvPFYmoXZgdDGe4q5v+TqrsJWd+u9LpJK37XN2Z
gRH5adxVEHhLgkptLVoZ9MFWr/fdKGxI5vIBB3SytaWFnUs6UFf5On5PEPYOj6JpP8ROM+1tusW+
ZuD5AvT8iYwsbwVJb1oD1h1uTJvHLlNhsJpqsNMTcZ97prTDoS6t4aLNbXdBBUCcosG4qecqv2LY
PG3pvw0HFAsoZ7XMfOqM9tM0NPal4abVQtIr41quGw4dyRrKg4nifR4fAwdJrh9WIuN0IeviPi2C
+1xRU61n/FSxn+Pt4hB+JjL0E+Rv5Joq28Bpn8h4jdcVRJkN5OaIopKNm3w01YQHtwTMYjv1Ge38
dVHKcsNk877UIOC1vQVOuLce6Rk2T0VBy7ZgPL/JbLRmDq69avbsbQ5UlkF8GVwbHd7csODxnxPx
VALA9Ns6Z9g+IOxQwtiaDjNQfoqls8FjWAP2Xyu2XypKp98pwUM3pc6Do9kEidbjRTA0L9rYHKWd
Hr7bdK6/rtf/VfT5dYkLs/3//++nRr2LnZSBi+TVpxJ7WyLEyBZpNaWg3pGd+Gifu2WIfo6tmnGt
YX+tBv5tgs5PUx6u5rGh4a/Gqeq+nfJwgugLe3KwSS3uBcBtB5GZESQQFvTf/14/F16wVWGRcjEd
CdFbS8boOGgf8UftBZgFb6EBLstxYozgUGitlhf8k779/TV/Lre4Jp5ZpkuYZ/n7j+VWaBZe5JJp
BRPHijZWO9zRZ8hWmin3o2ZlC6jukGXzsWlZ3X5/afNNMpF0Fyitt4x6OKfR5H8z5qGQG+dkcot9
mzcmLvzcvZ5wrS/LxZGpbbrXPfU0tmrYwgsYDsnQ8t56WHCbaHqK0FuEgGX6kAJ/Nq295+W0E8jI
FO54HDFo+WSMVCsw++i8kxMOjW1uDbcqD+91K0LUquS5R82zIq3b2xEeX30MmdGsKCin9e9/0188
QsCudEE1C55LvBVeiSz2aJ7JYh+JditLjk3efI3ytP7DHbV+dUelwYgHLzRir7dTQm80kDq5y7Pq
ZfKiVep6AoO90TMW4QKNwRqZ5akLjfwmG6Zrp9PzmyhkD5Vz+FIPrMtLqYKHLsXsqI6h1mLcGfs7
zbPPZjPsCHKHPEFbByVRZO9qJZjDW/gh8lBUS2M2PvZ6094WqbpXnH1BIMby0MVuvhkxxxxpm78E
sWX7RZrxKSq33CkteQnK+d7lyDx3LZt3Ze6jydpHURGvwhxFPSSUY+og9hb9fO1MtemTCWRsaYt/
aiz8fo5BjfX7D+wXKwyT3YXLy8BVoJX78a2YgWnXUjOL/YztaCknFCsbSSFYskdz//trLcepH2tS
jwEy+xTHSoepyfLfv5+0iil2MjkVeysdbqGIHnLcwX+4xC9WFsdmkobfzBA/D/5oN6ddpuvFvvSG
Cte1woobzE/LSo+cedp1DfZoIfeeJs5j4EUbDJAH4kE+tEny2SVkxhc5eng3S8w9OXRssh6rUzXl
J1ynL7M9mhvmK+k+M20EQxzn6ZDP7WUW25vBrd67Hf/aRhF/IacYyatF3cLJF0ith9VMNKBWiD8W
O8K3Ol8X8YtF1gWJ6OlpUCmyauRFGJUpUI2R6heicEFfe4Xc47YsRLSR5vxVA/tv13z5izeWz8JD
0c06LJkZ/fihFKIC8znlxd7IOCgMUR6vYjI7fYHq9mRE3IGYcgsxtHvOLdpWQdvgvjLyK+RM9y5C
MoIOCsRvAWyNzjbKdR/pD2NSmWtXJ+gsHexz0Dv2qg+sM53iZE2jUVtVWLLWTjLd62J8mlvdj534
nTKpDr2aX7jR1C6N9PuJQsyvgqjamRl509V4G1p2D/SE5xNiU+C39jAiiCIlLQ8yFN/WfO9VzXD6
/VP1i5eEPWP5nwHDTxhv7tEY1jRSx6HYj26xpsRRvjPy40jmSUEV/uETAYj983visguzrDETdn96
J2tpTiaexGLf4E6HxdmWazdIDgE7lWfw+czYRXARcEAivbPzk4QKMMxOdkoB2JeBDVsKFHScDzUa
yRmc/hKCUkzuZ1gol+DyrzKPYPTIWwZ7RWmuzap9ypP5VmXTMXeWzZjHLDTTx2BcqlTc7Mmsn+oe
GJEqxYpydYP/2N12fKSvx0uUjiYGNv6gtww0MC6tkmoctlXQd34GZOdC0e9+PQQFBeaVEVrEoejH
u7jjIOkCbVnNNUc9ax7vmi7UfWxssICGO5Ea17UW01yjWjNQ4MVFOq2Xf9By/g3CAR7Iqic5FRvC
ZnmNWmWRwDbe2UivaN6mGu8Ts8usplrCgn5CDeCunYo/3WjWQ51YvGJdUF96lnpCgrEesYIhXYxP
MRmXjGIpxWUmH5JouB1RN+Ddh0hWoCodkgPmvEVUzAvcddmBQ/EO4x9ZqOHAg8nbYY/dKTOsTxFR
o4fUsAhWYf4imgk35ghpnTnVCAXr6FLZYyZ/wLj3p/3Y/sXrTa0DtoQuF0/UW/pkxnykFtLK960z
PREFe9vq7HsDx6zA4rVe6q/Xo3bZgR/ooCFCt+OdLyJgiGMLLifhy+j3kppeJBsv9dbu0JgOI4Sw
XgHlK/AY9tM+M3AUDHGKvSOU8QZoWvhUQwU8VQ0msZnp24aIBu+SWBuqfMc8C401Jumm+8Gk3NIb
s1oR79OvVEjCbuZSWYccDNkPI2xC5KFTZjtJf9cNrKCN6G4blyMpwIXT0Pe30qJlWma22sQNvPN6
hMIXjXh2caPnhjajXJ2e7BZDSYMxz+F0sE9j+zywiXDI7O9MdA1LNd85f++v/+mw/aHDZpoUgd+t
sj/BY+++FMWXtv3y5fv22rev+tZec42/bKQy9Mrgs/LNvrXWPP0vAgRMKJoug1+Xv/6PxcC0/6Kt
RlgDMhrKUGMRGn1rrpnyLwisi/nAY0kFaPePXOVgbN8u0kTtERQKldLErvATZ9OZGuYFo1VcaERa
G9VuwGWaDJtAG0dAJzleTt+grz5edgLwX96S8GS0Cs4zzq19ncuYFzAgQgxrvHFuyRKg8tLTjR3r
xToMbaD0Y4O4NbTVQ85YhTQc0zIfvbAwLkSlw7T3LKzDUSipR5znvqi6i8Fsw52FCW3NzLdeGWSn
rOaZzLYJ8R4WcjJqSIZT7daK6hxGDwBUOoPlg6xq97EAXHXRQ2nY6rG97VvkGHrHiXhI4vDKaBhm
FFOc3ZFpRB4T1jmGPCZGr4fI6OudGLT5AAB8MYQK2/6M+rqKfJXTLUTYGoanspm692nSucSqz/pt
PzZAHzPnhsgY76QnhP24OWRpphkM1nHKAR7pB8JkOGoHid7sGoeD2xgzT6ZhcFNWJVlpDK63tga5
fMZZdlU43iGEpmiVKr2GsceEJwCwQ4fK3WQI1P0+ra13jW4Wm7GW+kqfpbz0EtVe9O2s7QNtxo6d
RtqBMqiCnVgjKGd8QxSbXp5qG0DepnY1jBUjxwSDGfBGkMR4GYL02snKyLeiNi2+azvfVINoT06s
YVvrxZ2tcvU0pb29aUdSzAInbW/mFM8XqcnZ1kagtibOjOCsOHE+91ikqmL6pOdxuzMqnH39EEKj
F15wP7hxuSWp2n5GyZ9OFIkiOYUWJpCM0OZopVSXb9w8G9Yx2II9DsBmy1ybNASd2DWkpcIPXQAr
EFO8z25TjC8hxvHtTIq7ix04Lza8N1hjWPezyymp3hPbk7x3qQ4fob3pnKtmSz9B9BmOrsYgqMTw
EvmxF1WbCow8opOAdARs5YdAt4sr0xjKEwOO95HSqOI4Z9d7ty/TG1XWxMri4LgSecNEsQbrR19Z
Il6OcbU7+17r42nbtClTWK+XKflSvRoPCKC3SSHQQs9qgQ3Jyl0JjHiLu1nk+6l38fHOnhX6FE86
EEwBv8Qkb1IwEwwJ1aN28pWY82tN4xBtoQsE2FqfGls8llntBJe1manoSGbWBztunNucIKdAcw3t
oo17GYhd1mEqddCijYX3hOilpp0eTPMVg7H2uu2Fmz9xaMfFKAt6UG7Xv7eIIASs0kd4L7PUuZNB
yy7a9MYmzArvMJaOyH0vaIlPqDBC3FZKyxOmoNMQ7ivppM17kY0yVWtwzXgmYNw4Jdqb1nJbjZF+
IvQrFkruez7AbArshMM/qVqBDrOlHruVXmnhuZ4cAld0WBx1s2mtybgplNcHz0lAY8+KZ89nhfMj
bA0coDFC8uRaJE96ZFzScJdGio5uGT/qnZd8drRg0vZuMegEipYweX0SQXpom6+Cr8VtKE8jSSEI
b9AipgY9IL/UJyO8MKJOH/yiHtV10TnyGaBBl+5o/uJI4LCL2x6imUcxBcrB24DX5JJEUTW4bZTO
nB4bVI6eJKNs1ccq3rH2LWOyFOOFL7wWFwFU+oRIwNgryiukGqK00XnWkdkdU3IudTAyA41JRznh
hhQs+woSvdpaElaFrmdD4jcW93hlG8F0h65ZHBtbaxs/JbyPGL7cG2lnmvap8GR9kcYe772ygoWP
KztO7EQW94aIdkQduLsyatLrQmSXc8iEyG8Mq7xU0RL5gcZ0W46djGB/uM7iNCCObt0XPaaHxBYH
8pZ3llYky7uasH6Bu900YWlqWx324Dsng11ki3Y2VkgGNd/WioJWf1/euoNDBWPXw0crCQQmX9M7
Tqij/KxuyOVSMuTwixXZn+c+0/0c2PdTPdWf2aOa86LcZeq5WDcGkB6+0Gv9XTgbwRaxpPseMGR7
I7EPsDkUGfB9p70qOxeFgDbphwF1wNMsbIumlrFuHaYYLJ3BPudbPaSOEa+RK7kfB3IHSxRnoton
Vq2OzuzMJw6krh/WimnTOCU4hk0M43U5nFEbbvGPSkYT+pysOjOCuZQMptwk+ISvafEkiAa9XQtr
7v3slN3FBLBoZzTFvCMD28LbZQDXmFu8OmMGs9wB65GsGyXcY2wuGEysg2uQLYXP+U69U560fGFA
Ownhml3jFxlXA1OwjUy8cGfzC2yrlimPT4ZnxNI4ywfTrFE1DICBHwdXdCfDmY0vA+OardVhTEnJ
hdnbbW1+0BTXAy0XrisiTLbIISu0Xl12TvWxvu95D0+gA5prywLHQde0gP9UJJe4veNdbUbDOSUF
A8JcZu+zefhUuzK+nIhq+xCAgDgHgeHxTVqbSgBMGtmK0GHL3NTPrcJRtIp586+txFE7QIXNI00z
InNAVpuMLW7odioyinLXvsixduNSW+Y1SVp+Htuw9iuV65sUXOwFWKkPnG5sTMs4/TN88UD7JpNR
Ytq4vm6gJSkCfSNBZJ2sONaPptaiAmP3R35CUMxaMtDiwGl07zXRd+4aqxlEEol4zyMyD72rsoEF
00JdgSkg2rAIBW2TfOnk+noKbnRhY40uSh9e6mbo1uQnWY9C4RdWEie37+gJK0HTpKToFAN8Dued
CVoPKQrqzTiM7lp7quKb16L1P/X9n+p7myL7d/X9h7h9KkG9/mAjNr9+1d/1vf0XSCZ6xRh1F7fH
EvP2d40v/kISgjrZk+YCzF8K+b9txMRpu/Q/XBwM8hW2+T81PglwEGAcHVEdBwD3H9b4P3Z9GJuD
RQftIljTiV1lxv9jZ0wYepT2sLCP3qJXfrVKWEbR7OeJmNtVx5vz+N0N+uO05+sFHVQ22F4s8IfG
m/5oym9diSq3jiaL4toY4BUDQEBPjwRrH+JpOP/+ej/2Br5dT8ImpbGFY/tts95L7Lll/iSPThnZ
j4nHBcwkMe5aa4h3v7/Uj23Z10vxUfNZM1fA/P3W39BEiN361JDHNEcVHzsJxPNuZoPHPIrRhuzb
ewc86fl/IS76xW/Jk2TxNLhIK36aoY11Cgdaa+SxFYm8KNyKgoRYp6VkCpEn/v73fNO7e/1FeQIN
D88lEzTCHn58aFSZtTnYHUm6MQ1qn04TNc+Y6Iwehs5BN1qYSRUdONKRpTs10dA+YCdAIKkylK66
KP5ZcsLyAyEuWixbHJZt7CVvRk8JueR9Btj1+NVLwJg23umYuHb/x2uB4EW+wiPMg/NmmEBSKwJV
GFQYSpFX9xJJqsO0+vbVlvH7G73cx3/NEr7+WktjgJxIti9GTT/eZybm6O/KXh6HIHppBUP4XjAV
+/1Ffn50bJ1FiNYvf2eVevNh6kMinU5k8jinLbIsd0CA9dpONOYUndrvL2Ysd+ftr4TXzBAUW9zC
tyMtN+DENIPOOiaCRtraHLgm9OnFEdbgrnCx6jyCpOElJdLkFv+UCe4Wn+8ffowfu89f7yyNQmBt
vKr44t48MAHt7yCwU3lUbicOJk5xjRG4515WWssTSmpgvklTQVk+zcwpyHnl5bUqxPGsIM3+9z/N
rz4BQMyepPqiFfR2UJxmOIPytOLlXewwaF9Gfyx65mv0FTf//FLoALFhYsQzxdsnSlVuUzZObR5j
i9vrecu0EOQDS71LB/4PTf4f9xaW70Uahl4W0xKX++nxraKOE2ddaYcAdwuyDQ2VX2FmmJdGOuUD
OQjuH55l48cleLkk2Slwq220agjD3nrwqhR5Pwxr76AHNJ6lWyCvbEmLv7Vxc9/GbcDnalqzuo7c
RNy9upJyxSjT0Qrk47QcYGPVbH+vKwiWkQrZ6iyQSAeYcxBXG8R0/OETed1i//VKIGaBw0zrz1pc
gybkpDcLCoDbRKrclIc20/OtPoMtLWNb24ZGm/YcK/MJbHWWJU0ZrMqE0MiNwTe7aZCOEnafZPyM
xHPzQQZW2D2TXdw9K+pVG2PSvGjkaVFHa71JjMG3jJHTpBF68rGOXLTWdt3s9YQva8BK4hLk62gG
CfNiFOQadoND4z6UsBcTbiCCkGS6pkTFMAcvxbun262R0eEFtbE3WotvjROH4IDcw1+4Ig0ygK/d
xyaO/aLmGi532l7wknVNdIsvByxbZKtX9Aajkifkq1cFIM+803CF2ocR+8Cx7cIcUX9j4E16tXGm
SVZ/REQnqkNuxNOt4WLw1ESnDf6MCiH+ZBAgR6k8m3YKfRq6yD2B4zx7XWo/ptTyM3kVwnqcDK99
pq257NDDYD3mUyqeqjkQ+6F26tvGRkZtjU69cuJQgsxsvQGCCiCKfGVMhnGnmTUv6VKbI1bXAEVI
7miAN26SIt4Fptk+I6YHy1sK447sAe6PNwbObduG870gNue58hZ3Wm5jWjNU0z6nTN6XVBpco3Mb
GETO08a67yvwv0Q5TiAtg4LvkieTcTd33Dd6QKTav+5yBTs1pzebUfyUR02yBw7AqWByHJ5sGdnE
ZyP1nZ1DtBQmGkelrz440LrqFv4sg4VM13D6WSCrznVc89Skpo6/wk65m+RAVB1UaXcqGNUGWCuq
Zb3UYGZgzZMDBg8BeqxekcezxLkvVg27jHj/Sj2cQMIs/sxIyxd/hpXjAAxKF9eUwxGv+tbfMAqG
dD7Rl959q9O22dFccpdzlQK0tMDAu85J1XbK2Jf9roCquqpomJxmJyOhwYhz6xGYJY7DhWHpt0UD
VppGUPOORGCxn+eR/pgIbfmpGIbizp3j6QQblKxA7MkGYIzMcLfkGDWHOCuHizCbuEybKeimxVz2
a70N7DvEMzFyQNstUh/awHR2ySU75jJCYJWnnreCQGGulKXJFTlb013KzGoDKqWqDqm+HPh4JmGP
6G1x08EBRbUa9PmX0mq6F1fOdJuE058R2QCkm1RCo7RPWZlWc8bChWubo3inTdUD0TlNu6XNZT8p
QizWeDaKS8glTbjVYfvT0uqreG0QhbEbyr48e0ATEQ7ObfQpNDWcFgjRT6BnUH0UE3bCqXPqnduO
9kfkIEtEWDV/Ika3PJgyDyfSZOX8qcjqdEODdYa7PfAxuoGFqi0di09JlTjduhiilnCPxtktxWgL
cKaGKd80ubapqQEXsGO+5aiL3pLYDr8gv+UWK4x2UaR1dZE0UMsmq5++kM87biIt1m4mr8wf4nQA
ejEVzMiLmHEa7jyfnuGj08E3wUOlrQP4Kqt+aIxtXpV8I1c7L8E+LP9mAKSdbjoyu0UGX3artPbw
AvgNRvWwXD75aryk0iUJyzQmaw3Um1SgAPED1EaCgGUfRhduCXY661pmfOWkbURe9u+r1K4xYBbt
tl9EK0WkP2VOWz54Gfbi2DPUttUCUokzfg4PusYNuxIS0pnl/dKWNUmfoc4n6gBYvyzhZlzrXV9d
M8PmodbAR3WPU9BhuREJr0S7+HA3ZdVhPkYBSYEtTIU/gtW2ew4bnQWpnD3jbkKbSzpON2AUcxhz
bNxeWbQ24kih9StrHXubE+D1E5ZWfgzI1rwmpUVbvTqzutZjP3Z7C2slAGtSMV8tw7qh8N4yDmcJ
ejVzvdpiNcU5CisqJZw9zMbdUEle/T6y6r1UoGn3lpFCWKx4bFelAwkTT1ORfRRlHVLP4VfCwFUu
pksjaoGqWQmOvJepGiQtEgdMX+Z07aZI5PgFOxY5BMy4rQ8webyLJvLaPdlIdMQLFcZkAxhJ9Lkd
usekssyNJeMwXIG8rNuHbAag+A5EbmnuXRG55wFC8somFXwTjSMp3Zo9bxGs0VrzEMH6YHPH94PV
5Ld2WL2Q5v2AINK4Sjuks6yriMAFXe2N7CvxHGLkfJ7jeHwX9g6fHG98sqnxbnrkmwFKRmQSM7Wp
s9Y5QElB3aDGrMpXLfbNaZXSFxr3cHN0JgPldKpb6Fs2uEoQSXlKl9TmUwBlQj/hXisGBcXY6LIT
8cvyCuZvdlUbsr/NY7deNaXRPqGczDYl/bjPCIwJDbarWfhWIGLM8a4JyyJqIn/s59HzySljufAC
C7qmKw/TOHwOKm18N8LvvzHw2p2aOLQ+paMN5R5Uv8deuXCU6skMzx6Cn1OjwDlr3oiUORrC9lHE
YClzx6SdDYDviMmGoZDsUAHuDJa8rUYxC33GECLwYxk4ahtlhXlnp1WFysCc31VxFFzqUz/fdBEU
KzKsx4991tX9BkO7jA8qVspa0fDT8LQFo5uebUVzfOdFfbvnlKtdJrjk3utxI7yVlvY5+ibN0dN9
z8NzHtnhX4yhbk99VQ07xUZ4LJI2z9aVFwVk3BkcLyIWtx3aQgPfHpWFRuiHM9yEYhhpXicB9jwG
f83HVHUI3abMulSxYBk1dUTGqxpI2rhmztMH9AxLceqcabb8yavBr7qZI1kQjfFLKVAxbj1040CD
QnkhZQ1yP7Pnfds78W2bG/V7xObtvZtBuBzUzEgoWdyAoDXgF0YRdNg5cVCyjE7M4HOOnomOYh/q
dOTF0IvjbC25VdfDzDmlyGanWVn0D6+E7qj3ejNq9Cw7Urxisza3rmY2jl/g7N6SLc6YtRSx1+56
nt0XIE/qQ+Wa3ROuHecZsR9R2Xpl93Bv0XqQhlZmDjxVl/g8OD51vG4i2Ll7p6terEiF1y357exy
cdsdzFEBgCtL+KV0euuJZmgDXJvd+UoD+7gRuh10ay9cJpvzpJQPdAs9utXLzsUWgFFdk87wgHAa
K7gTzsmVzixYR5NUZFeFl2XoOMCy3USayaeW0UCS+7waM9Xjf65VIL+eYP/TC/1jL5Qu2XdHm5+0
Dh/AtDF2/0HpAAGAr/nWCTV0+Zducfi36YfSaljsOt86ocjD+E+IFhAQf9NB/N0IXeg/ujCRh78i
E01OfH87ifSFp4imk04pUZYuirV/EDr0Y6+FVqSOKYlDOIAiiU3OXA7p3+k28ZMb8Dnr8dznz2Gb
wST9/N3d+EXjk1/8u87Hzxd402ltlJnlleICLlFAkQt1wHuMh3PsraL8+feXej3Gf3ekpA0GmhJ/
FeGenoXb6s2RciIVL7Mok0+JlXH2pjTVhAnN20czjkLgU5uo0H2KAMh1+k6Ha6HNqxIdZ1wcdFOv
w/y5rEvXCQmnlBGayl3QhPqOrbL/ElPwxvll34AYk0edneYia70kaO5cqBLYGLUyuJvqbkuDxzoA
4cEjhWA75gAR1AUzRAw4vms22BPEYOP2+W/urqanbSCI/pWo90gEh5IcWokmtA1pgBYBUi9osVfx
No4ddtck5tf3bQwmDs4OPYA0lbhhiF9m5+18D2ZSBn07PEjmd/EMe0swt1ejyyaF7znES6CbVqH5
17gp5ycaztplsUrycXJzh/nKGJyULL8iBZcE8/GhRerrYIXB2r0ORrb/xv5AtMa3kRb5giCPHmDj
VDc467YPFw/jP7Yfty+We+jRTY+D++lNv431AajdWN2g11yjLmEtkf+GNR6BOKU+Xk8D+5lLXfyS
BvesqbRKaIxeXf9eSfNPT3j+xeO27VH06QNUGRVIVcNi+Sa1bdxHibgVc6Qc8CLKFo2cVf39+fP7
FhufAv2uCe/5qToqzzuXX4zngY2P66BqBExXvVUDKqxJ1CrihQpNLeXXWFZhN6D6JjM9VbxQdTFi
zi+rUSTijNX5Q9U7Lk3f+RuhsTLNlGEGq0eo1SiN0APJ7AD2ezAcvMLKlrwgIQXY8UMai9QIXqcP
3YowqnxyGuOKysNZwUqp0ExE8N+PDJuW2akVMmt+aR1p9ZAx4wr4KhSoGT/NggNIaNZEqFRyUivU
6VOsPhEIG23M4eBg2SJ73iXYYiKMESHicNJaVgSP6SV9eOg+gp+oMFZTUdV+sRAZ1iESVtNEuZ6V
zLIyMtCGsEfiMkbhZ7FQrLgDvfSvQJblmhks5C4I/cpSy8x8RyGR2wXjY41TeauFmfHSrmDPxUP9
sO4FrwgGAp59wtVyI+2/i/kCGzE1L4MjQHidEtiydSK1kQUrNgxQtUYDm8iVCllFaVBeUFuv0BBP
216wwMLewNQSwkk5xcjXuHU0l1qFW6yI2noLUz+1GxLfEdTFyILD0m14ism/cVh3P/jYeRWygdAZ
wmtb0ESEZNkQCVCgfgW8d45ZA5yrA/YS/lpsQzHjZil2Qfx+aGex4sUdbqUHAWmWIGzNK3HydOZ3
JhguU2Vl1Lqwwsot5zLM8tS6BNZUuR1/1UHewR5ugV6pzO/FHuWqweq9Gui+vp+QBdkfYIz7xpfd
AOocAxFMkdyLlFdiCEULtVmqDdCapqlykFqAkABBiBdZjiua40XmwBHJrxIcv4ssQPsK4ZS9GD/C
4jxCZiSuFa90ERrL94lo4qUVMSdPDEPu9glP7EpiHYUz3iWbYg2Ml6F4/kqhqoHZ9QXzpks4K9cC
UQ7sSH9eicyCLFBJSPD7tTS2xVJoW93nDTbHi/5zHjKrV5I24arXkrJAVQUgdvordSJcIN0nS9f/
nZwODMgjgtMDkWBCumbGbph2TFyuKF7NtIhYefWYHksw2yBDpi60KsxZ3bG9XkDcRUOZiCXid3WF
ebOQGaV+KIB1j4SJFPrzXwAAAP//</cx:binary>
              </cx:geoCache>
            </cx:geography>
          </cx:layoutPr>
          <cx:valueColors>
            <cx:minColor>
              <a:srgbClr val="FFC000"/>
            </cx:minColor>
            <cx:midColor>
              <a:schemeClr val="bg1"/>
            </cx:midColor>
            <cx:maxColor>
              <a:srgbClr val="0070C0"/>
            </cx:maxColor>
          </cx:valueColors>
          <cx:valueColorPositions count="3">
            <cx:midPosition>
              <cx:number val="0"/>
            </cx:midPosition>
          </cx:valueColorPositions>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Spin" dx="22" fmlaLink="$A$1" max="10" min="1" page="10" val="9"/>
</file>

<file path=xl/ctrlProps/ctrlProp2.xml><?xml version="1.0" encoding="utf-8"?>
<formControlPr xmlns="http://schemas.microsoft.com/office/spreadsheetml/2009/9/main" objectType="Radio" firstButton="1" fmlaLink="$B$1" noThreeD="1"/>
</file>

<file path=xl/ctrlProps/ctrlProp3.xml><?xml version="1.0" encoding="utf-8"?>
<formControlPr xmlns="http://schemas.microsoft.com/office/spreadsheetml/2009/9/main" objectType="Radio" checked="Checked" lockText="1" noThreeD="1"/>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4.xml"/><Relationship Id="rId4"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10</xdr:col>
          <xdr:colOff>383350</xdr:colOff>
          <xdr:row>28</xdr:row>
          <xdr:rowOff>175821</xdr:rowOff>
        </xdr:from>
        <xdr:to>
          <xdr:col>14</xdr:col>
          <xdr:colOff>390525</xdr:colOff>
          <xdr:row>38</xdr:row>
          <xdr:rowOff>95250</xdr:rowOff>
        </xdr:to>
        <xdr:grpSp>
          <xdr:nvGrpSpPr>
            <xdr:cNvPr id="7" name="Group 6">
              <a:extLst>
                <a:ext uri="{FF2B5EF4-FFF2-40B4-BE49-F238E27FC236}">
                  <a16:creationId xmlns:a16="http://schemas.microsoft.com/office/drawing/2014/main" id="{D99E4541-8C3A-661C-01CE-924421057276}"/>
                </a:ext>
              </a:extLst>
            </xdr:cNvPr>
            <xdr:cNvGrpSpPr/>
          </xdr:nvGrpSpPr>
          <xdr:grpSpPr>
            <a:xfrm>
              <a:off x="11203750" y="5509821"/>
              <a:ext cx="2978975" cy="1824429"/>
              <a:chOff x="9955975" y="5509821"/>
              <a:chExt cx="2978975" cy="1824429"/>
            </a:xfrm>
          </xdr:grpSpPr>
        </xdr:grp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absolute">
    <xdr:from>
      <xdr:col>0</xdr:col>
      <xdr:colOff>133350</xdr:colOff>
      <xdr:row>8</xdr:row>
      <xdr:rowOff>180975</xdr:rowOff>
    </xdr:from>
    <xdr:to>
      <xdr:col>3</xdr:col>
      <xdr:colOff>600075</xdr:colOff>
      <xdr:row>27</xdr:row>
      <xdr:rowOff>19051</xdr:rowOff>
    </xdr:to>
    <xdr:graphicFrame macro="">
      <xdr:nvGraphicFramePr>
        <xdr:cNvPr id="14" name="Chart 1">
          <a:extLst>
            <a:ext uri="{FF2B5EF4-FFF2-40B4-BE49-F238E27FC236}">
              <a16:creationId xmlns:a16="http://schemas.microsoft.com/office/drawing/2014/main" id="{297B41B3-BBBB-AF23-0D44-2F3926C9B0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57149</xdr:colOff>
      <xdr:row>1</xdr:row>
      <xdr:rowOff>123826</xdr:rowOff>
    </xdr:from>
    <xdr:to>
      <xdr:col>15</xdr:col>
      <xdr:colOff>447674</xdr:colOff>
      <xdr:row>4</xdr:row>
      <xdr:rowOff>123826</xdr:rowOff>
    </xdr:to>
    <xdr:sp macro="" textlink="">
      <xdr:nvSpPr>
        <xdr:cNvPr id="2" name="TextBox 1">
          <a:extLst>
            <a:ext uri="{FF2B5EF4-FFF2-40B4-BE49-F238E27FC236}">
              <a16:creationId xmlns:a16="http://schemas.microsoft.com/office/drawing/2014/main" id="{FF9922B5-6CB4-88C2-9577-B998A50DEC23}"/>
            </a:ext>
          </a:extLst>
        </xdr:cNvPr>
        <xdr:cNvSpPr txBox="1"/>
      </xdr:nvSpPr>
      <xdr:spPr>
        <a:xfrm>
          <a:off x="57149" y="123826"/>
          <a:ext cx="9534525"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800" b="1">
              <a:solidFill>
                <a:schemeClr val="tx1">
                  <a:lumMod val="75000"/>
                  <a:lumOff val="25000"/>
                </a:schemeClr>
              </a:solidFill>
            </a:rPr>
            <a:t>What do</a:t>
          </a:r>
          <a:r>
            <a:rPr lang="en-US" sz="2800" b="1">
              <a:solidFill>
                <a:schemeClr val="tx1">
                  <a:lumMod val="50000"/>
                  <a:lumOff val="50000"/>
                </a:schemeClr>
              </a:solidFill>
            </a:rPr>
            <a:t> </a:t>
          </a:r>
          <a:r>
            <a:rPr lang="en-US" sz="2800" b="1" baseline="0">
              <a:solidFill>
                <a:schemeClr val="accent4"/>
              </a:solidFill>
            </a:rPr>
            <a:t>wage </a:t>
          </a:r>
          <a:r>
            <a:rPr lang="en-US" sz="2800" b="1">
              <a:solidFill>
                <a:schemeClr val="tx1">
                  <a:lumMod val="75000"/>
                  <a:lumOff val="25000"/>
                </a:schemeClr>
              </a:solidFill>
            </a:rPr>
            <a:t>and</a:t>
          </a:r>
          <a:r>
            <a:rPr lang="en-US" sz="2800" b="1">
              <a:solidFill>
                <a:schemeClr val="tx1">
                  <a:lumMod val="50000"/>
                  <a:lumOff val="50000"/>
                </a:schemeClr>
              </a:solidFill>
            </a:rPr>
            <a:t> </a:t>
          </a:r>
          <a:r>
            <a:rPr lang="en-US" sz="2800" b="1" baseline="0">
              <a:solidFill>
                <a:srgbClr val="00B0F0"/>
              </a:solidFill>
            </a:rPr>
            <a:t>employment</a:t>
          </a:r>
          <a:r>
            <a:rPr lang="en-US" sz="2800" b="1">
              <a:solidFill>
                <a:schemeClr val="tx1">
                  <a:lumMod val="50000"/>
                  <a:lumOff val="50000"/>
                </a:schemeClr>
              </a:solidFill>
            </a:rPr>
            <a:t> </a:t>
          </a:r>
          <a:r>
            <a:rPr lang="en-US" sz="2800" b="1">
              <a:solidFill>
                <a:schemeClr val="tx1">
                  <a:lumMod val="75000"/>
                  <a:lumOff val="25000"/>
                </a:schemeClr>
              </a:solidFill>
            </a:rPr>
            <a:t>figures look</a:t>
          </a:r>
          <a:r>
            <a:rPr lang="en-US" sz="2800" b="1" baseline="0">
              <a:solidFill>
                <a:schemeClr val="tx1">
                  <a:lumMod val="75000"/>
                  <a:lumOff val="25000"/>
                </a:schemeClr>
              </a:solidFill>
            </a:rPr>
            <a:t> like by industry?</a:t>
          </a:r>
          <a:endParaRPr lang="en-US" sz="2800" b="1">
            <a:solidFill>
              <a:schemeClr val="tx1">
                <a:lumMod val="75000"/>
                <a:lumOff val="25000"/>
              </a:schemeClr>
            </a:solidFill>
          </a:endParaRPr>
        </a:p>
      </xdr:txBody>
    </xdr:sp>
    <xdr:clientData/>
  </xdr:twoCellAnchor>
  <xdr:twoCellAnchor>
    <xdr:from>
      <xdr:col>1</xdr:col>
      <xdr:colOff>238125</xdr:colOff>
      <xdr:row>6</xdr:row>
      <xdr:rowOff>190034</xdr:rowOff>
    </xdr:from>
    <xdr:to>
      <xdr:col>2</xdr:col>
      <xdr:colOff>361951</xdr:colOff>
      <xdr:row>8</xdr:row>
      <xdr:rowOff>85259</xdr:rowOff>
    </xdr:to>
    <xdr:sp macro="" textlink="">
      <xdr:nvSpPr>
        <xdr:cNvPr id="3" name="TextBox 2">
          <a:extLst>
            <a:ext uri="{FF2B5EF4-FFF2-40B4-BE49-F238E27FC236}">
              <a16:creationId xmlns:a16="http://schemas.microsoft.com/office/drawing/2014/main" id="{60393649-6728-E664-3008-F946F1DD1425}"/>
            </a:ext>
          </a:extLst>
        </xdr:cNvPr>
        <xdr:cNvSpPr txBox="1"/>
      </xdr:nvSpPr>
      <xdr:spPr>
        <a:xfrm>
          <a:off x="609600" y="1409234"/>
          <a:ext cx="2162176"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baseline="0">
              <a:solidFill>
                <a:schemeClr val="tx1">
                  <a:lumMod val="75000"/>
                  <a:lumOff val="25000"/>
                </a:schemeClr>
              </a:solidFill>
              <a:latin typeface="+mn-lt"/>
              <a:ea typeface="+mn-ea"/>
              <a:cs typeface="+mn-cs"/>
            </a:rPr>
            <a:t>Average</a:t>
          </a:r>
          <a:r>
            <a:rPr lang="en-US" sz="1400" b="1" baseline="0">
              <a:solidFill>
                <a:schemeClr val="tx1">
                  <a:lumMod val="75000"/>
                  <a:lumOff val="25000"/>
                </a:schemeClr>
              </a:solidFill>
            </a:rPr>
            <a:t> Annual Wage</a:t>
          </a:r>
        </a:p>
      </xdr:txBody>
    </xdr:sp>
    <xdr:clientData/>
  </xdr:twoCellAnchor>
  <xdr:twoCellAnchor>
    <xdr:from>
      <xdr:col>3</xdr:col>
      <xdr:colOff>638176</xdr:colOff>
      <xdr:row>16</xdr:row>
      <xdr:rowOff>76200</xdr:rowOff>
    </xdr:from>
    <xdr:to>
      <xdr:col>4</xdr:col>
      <xdr:colOff>400050</xdr:colOff>
      <xdr:row>26</xdr:row>
      <xdr:rowOff>47625</xdr:rowOff>
    </xdr:to>
    <xdr:grpSp>
      <xdr:nvGrpSpPr>
        <xdr:cNvPr id="10" name="Group 9">
          <a:extLst>
            <a:ext uri="{FF2B5EF4-FFF2-40B4-BE49-F238E27FC236}">
              <a16:creationId xmlns:a16="http://schemas.microsoft.com/office/drawing/2014/main" id="{144DDF20-57E8-BE48-D20B-14365D95DD40}"/>
            </a:ext>
          </a:extLst>
        </xdr:cNvPr>
        <xdr:cNvGrpSpPr/>
      </xdr:nvGrpSpPr>
      <xdr:grpSpPr>
        <a:xfrm>
          <a:off x="3657601" y="3209925"/>
          <a:ext cx="2305049" cy="1876425"/>
          <a:chOff x="3657601" y="3095625"/>
          <a:chExt cx="2486023" cy="2209801"/>
        </a:xfrm>
      </xdr:grpSpPr>
      <xdr:sp macro="" textlink="">
        <xdr:nvSpPr>
          <xdr:cNvPr id="5" name="TextBox 4">
            <a:extLst>
              <a:ext uri="{FF2B5EF4-FFF2-40B4-BE49-F238E27FC236}">
                <a16:creationId xmlns:a16="http://schemas.microsoft.com/office/drawing/2014/main" id="{6C9E8483-A22D-41B6-BEFC-F3A01E65D2AA}"/>
              </a:ext>
            </a:extLst>
          </xdr:cNvPr>
          <xdr:cNvSpPr txBox="1"/>
        </xdr:nvSpPr>
        <xdr:spPr>
          <a:xfrm>
            <a:off x="3781425" y="3095625"/>
            <a:ext cx="2362199"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350" b="1" baseline="0">
                <a:solidFill>
                  <a:schemeClr val="tx1">
                    <a:lumMod val="75000"/>
                    <a:lumOff val="25000"/>
                  </a:schemeClr>
                </a:solidFill>
              </a:rPr>
              <a:t>Wage and Employee Trends</a:t>
            </a:r>
            <a:r>
              <a:rPr lang="en-US" sz="1400" b="1" baseline="0">
                <a:solidFill>
                  <a:schemeClr val="tx1">
                    <a:lumMod val="75000"/>
                    <a:lumOff val="25000"/>
                  </a:schemeClr>
                </a:solidFill>
              </a:rPr>
              <a:t> </a:t>
            </a:r>
            <a:r>
              <a:rPr lang="en-US" sz="1400" b="1" baseline="0">
                <a:solidFill>
                  <a:schemeClr val="tx1">
                    <a:lumMod val="50000"/>
                    <a:lumOff val="50000"/>
                  </a:schemeClr>
                </a:solidFill>
              </a:rPr>
              <a:t>Trends</a:t>
            </a:r>
          </a:p>
          <a:p>
            <a:pPr algn="ctr"/>
            <a:endParaRPr lang="en-US" sz="1200" b="1">
              <a:solidFill>
                <a:schemeClr val="tx1">
                  <a:lumMod val="50000"/>
                  <a:lumOff val="50000"/>
                </a:schemeClr>
              </a:solidFill>
            </a:endParaRPr>
          </a:p>
        </xdr:txBody>
      </xdr:sp>
      <xdr:graphicFrame macro="">
        <xdr:nvGraphicFramePr>
          <xdr:cNvPr id="16" name="Chart 5">
            <a:extLst>
              <a:ext uri="{FF2B5EF4-FFF2-40B4-BE49-F238E27FC236}">
                <a16:creationId xmlns:a16="http://schemas.microsoft.com/office/drawing/2014/main" id="{BE862A94-EDCF-03EE-41B2-E4CF62DFFAC2}"/>
              </a:ext>
            </a:extLst>
          </xdr:cNvPr>
          <xdr:cNvGraphicFramePr/>
        </xdr:nvGraphicFramePr>
        <xdr:xfrm>
          <a:off x="3657601" y="3362324"/>
          <a:ext cx="2171700" cy="1104901"/>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17" name="Chart 4">
            <a:extLst>
              <a:ext uri="{FF2B5EF4-FFF2-40B4-BE49-F238E27FC236}">
                <a16:creationId xmlns:a16="http://schemas.microsoft.com/office/drawing/2014/main" id="{80AB8643-A426-53D8-8249-4978CB5AA7D0}"/>
              </a:ext>
            </a:extLst>
          </xdr:cNvPr>
          <xdr:cNvGraphicFramePr/>
        </xdr:nvGraphicFramePr>
        <xdr:xfrm>
          <a:off x="3714751" y="4309672"/>
          <a:ext cx="2057399" cy="995754"/>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5</xdr:col>
      <xdr:colOff>209550</xdr:colOff>
      <xdr:row>10</xdr:row>
      <xdr:rowOff>38100</xdr:rowOff>
    </xdr:from>
    <xdr:to>
      <xdr:col>11</xdr:col>
      <xdr:colOff>333374</xdr:colOff>
      <xdr:row>26</xdr:row>
      <xdr:rowOff>142875</xdr:rowOff>
    </xdr:to>
    <mc:AlternateContent xmlns:mc="http://schemas.openxmlformats.org/markup-compatibility/2006">
      <mc:Choice xmlns:cx6="http://schemas.microsoft.com/office/drawing/2016/5/12/chartex" Requires="cx6">
        <xdr:graphicFrame macro="">
          <xdr:nvGraphicFramePr>
            <xdr:cNvPr id="18" name="Chart 7">
              <a:extLst>
                <a:ext uri="{FF2B5EF4-FFF2-40B4-BE49-F238E27FC236}">
                  <a16:creationId xmlns:a16="http://schemas.microsoft.com/office/drawing/2014/main" id="{E39D8509-44B8-0253-C8CD-8098920145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6381750" y="2019300"/>
              <a:ext cx="5257799" cy="31623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685798</xdr:colOff>
      <xdr:row>9</xdr:row>
      <xdr:rowOff>104776</xdr:rowOff>
    </xdr:from>
    <xdr:to>
      <xdr:col>3</xdr:col>
      <xdr:colOff>2209800</xdr:colOff>
      <xdr:row>15</xdr:row>
      <xdr:rowOff>57151</xdr:rowOff>
    </xdr:to>
    <xdr:graphicFrame macro="">
      <xdr:nvGraphicFramePr>
        <xdr:cNvPr id="15" name="Chart 3">
          <a:extLst>
            <a:ext uri="{FF2B5EF4-FFF2-40B4-BE49-F238E27FC236}">
              <a16:creationId xmlns:a16="http://schemas.microsoft.com/office/drawing/2014/main" id="{6C1C3FDD-1573-AB27-366C-51EC9D117B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460390</xdr:colOff>
      <xdr:row>7</xdr:row>
      <xdr:rowOff>9526</xdr:rowOff>
    </xdr:from>
    <xdr:to>
      <xdr:col>4</xdr:col>
      <xdr:colOff>482155</xdr:colOff>
      <xdr:row>9</xdr:row>
      <xdr:rowOff>9059</xdr:rowOff>
    </xdr:to>
    <xdr:sp macro="" textlink="">
      <xdr:nvSpPr>
        <xdr:cNvPr id="9" name="TextBox 8">
          <a:extLst>
            <a:ext uri="{FF2B5EF4-FFF2-40B4-BE49-F238E27FC236}">
              <a16:creationId xmlns:a16="http://schemas.microsoft.com/office/drawing/2014/main" id="{C46B0D0E-E86E-0261-0A6E-3A1E8435DB86}"/>
            </a:ext>
          </a:extLst>
        </xdr:cNvPr>
        <xdr:cNvSpPr txBox="1"/>
      </xdr:nvSpPr>
      <xdr:spPr>
        <a:xfrm>
          <a:off x="3479815" y="1419226"/>
          <a:ext cx="2564940" cy="3805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baseline="0">
              <a:solidFill>
                <a:schemeClr val="tx1">
                  <a:lumMod val="75000"/>
                  <a:lumOff val="25000"/>
                </a:schemeClr>
              </a:solidFill>
            </a:rPr>
            <a:t>Share of Total Employees</a:t>
          </a:r>
        </a:p>
      </xdr:txBody>
    </xdr:sp>
    <xdr:clientData/>
  </xdr:twoCellAnchor>
  <xdr:twoCellAnchor>
    <xdr:from>
      <xdr:col>3</xdr:col>
      <xdr:colOff>2100902</xdr:colOff>
      <xdr:row>10</xdr:row>
      <xdr:rowOff>85734</xdr:rowOff>
    </xdr:from>
    <xdr:to>
      <xdr:col>5</xdr:col>
      <xdr:colOff>162072</xdr:colOff>
      <xdr:row>14</xdr:row>
      <xdr:rowOff>108634</xdr:rowOff>
    </xdr:to>
    <xdr:sp macro="" textlink="'Data Prep'!I20">
      <xdr:nvSpPr>
        <xdr:cNvPr id="7" name="TextBox 6">
          <a:extLst>
            <a:ext uri="{FF2B5EF4-FFF2-40B4-BE49-F238E27FC236}">
              <a16:creationId xmlns:a16="http://schemas.microsoft.com/office/drawing/2014/main" id="{5C2AE141-E292-31A3-639E-B97302CCD293}"/>
            </a:ext>
          </a:extLst>
        </xdr:cNvPr>
        <xdr:cNvSpPr txBox="1"/>
      </xdr:nvSpPr>
      <xdr:spPr>
        <a:xfrm>
          <a:off x="5120327" y="2066934"/>
          <a:ext cx="1213945" cy="794425"/>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9840BA57-EF07-42BE-9C13-0ABB68FDC60C}" type="TxLink">
            <a:rPr lang="en-US" sz="3600" b="0" i="0" u="none" strike="noStrike">
              <a:solidFill>
                <a:srgbClr val="00B0F0"/>
              </a:solidFill>
              <a:latin typeface="Calibri"/>
              <a:ea typeface="Calibri"/>
              <a:cs typeface="Calibri"/>
            </a:rPr>
            <a:pPr algn="ctr"/>
            <a:t>7%</a:t>
          </a:fld>
          <a:endParaRPr lang="en-US" sz="3600">
            <a:solidFill>
              <a:srgbClr val="00B0F0"/>
            </a:solidFill>
          </a:endParaRPr>
        </a:p>
      </xdr:txBody>
    </xdr:sp>
    <xdr:clientData/>
  </xdr:twoCellAnchor>
  <mc:AlternateContent xmlns:mc="http://schemas.openxmlformats.org/markup-compatibility/2006">
    <mc:Choice xmlns:a14="http://schemas.microsoft.com/office/drawing/2010/main" Requires="a14">
      <xdr:twoCellAnchor>
        <xdr:from>
          <xdr:col>2</xdr:col>
          <xdr:colOff>9525</xdr:colOff>
          <xdr:row>5</xdr:row>
          <xdr:rowOff>28575</xdr:rowOff>
        </xdr:from>
        <xdr:to>
          <xdr:col>2</xdr:col>
          <xdr:colOff>447675</xdr:colOff>
          <xdr:row>6</xdr:row>
          <xdr:rowOff>28575</xdr:rowOff>
        </xdr:to>
        <xdr:sp macro="" textlink="">
          <xdr:nvSpPr>
            <xdr:cNvPr id="2050" name="Spinner 2" hidden="1">
              <a:extLst>
                <a:ext uri="{63B3BB69-23CF-44E3-9099-C40C66FF867C}">
                  <a14:compatExt spid="_x0000_s2050"/>
                </a:ext>
                <a:ext uri="{FF2B5EF4-FFF2-40B4-BE49-F238E27FC236}">
                  <a16:creationId xmlns:a16="http://schemas.microsoft.com/office/drawing/2014/main" id="{00000000-0008-0000-0300-000002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371475</xdr:colOff>
          <xdr:row>6</xdr:row>
          <xdr:rowOff>85725</xdr:rowOff>
        </xdr:from>
        <xdr:to>
          <xdr:col>8</xdr:col>
          <xdr:colOff>885825</xdr:colOff>
          <xdr:row>9</xdr:row>
          <xdr:rowOff>47625</xdr:rowOff>
        </xdr:to>
        <xdr:sp macro="" textlink="">
          <xdr:nvSpPr>
            <xdr:cNvPr id="2053" name="Option Button 5" hidden="1">
              <a:extLst>
                <a:ext uri="{63B3BB69-23CF-44E3-9099-C40C66FF867C}">
                  <a14:compatExt spid="_x0000_s2053"/>
                </a:ext>
                <a:ext uri="{FF2B5EF4-FFF2-40B4-BE49-F238E27FC236}">
                  <a16:creationId xmlns:a16="http://schemas.microsoft.com/office/drawing/2014/main" id="{00000000-0008-0000-0300-000005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1076325</xdr:colOff>
          <xdr:row>6</xdr:row>
          <xdr:rowOff>104775</xdr:rowOff>
        </xdr:from>
        <xdr:to>
          <xdr:col>10</xdr:col>
          <xdr:colOff>457200</xdr:colOff>
          <xdr:row>9</xdr:row>
          <xdr:rowOff>66675</xdr:rowOff>
        </xdr:to>
        <xdr:sp macro="" textlink="">
          <xdr:nvSpPr>
            <xdr:cNvPr id="2054" name="Option Button 6" descr="Employees per 1,000 Capita" hidden="1">
              <a:extLst>
                <a:ext uri="{63B3BB69-23CF-44E3-9099-C40C66FF867C}">
                  <a14:compatExt spid="_x0000_s2054"/>
                </a:ext>
                <a:ext uri="{FF2B5EF4-FFF2-40B4-BE49-F238E27FC236}">
                  <a16:creationId xmlns:a16="http://schemas.microsoft.com/office/drawing/2014/main" id="{00000000-0008-0000-0300-000006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oneCellAnchor>
    <xdr:from>
      <xdr:col>8</xdr:col>
      <xdr:colOff>28575</xdr:colOff>
      <xdr:row>7</xdr:row>
      <xdr:rowOff>0</xdr:rowOff>
    </xdr:from>
    <xdr:ext cx="1962150" cy="311496"/>
    <xdr:sp macro="" textlink="">
      <xdr:nvSpPr>
        <xdr:cNvPr id="6" name="TextBox 5">
          <a:extLst>
            <a:ext uri="{FF2B5EF4-FFF2-40B4-BE49-F238E27FC236}">
              <a16:creationId xmlns:a16="http://schemas.microsoft.com/office/drawing/2014/main" id="{ADBEF279-0DF6-84E5-8C15-C2956412D4AE}"/>
            </a:ext>
          </a:extLst>
        </xdr:cNvPr>
        <xdr:cNvSpPr txBox="1"/>
      </xdr:nvSpPr>
      <xdr:spPr>
        <a:xfrm>
          <a:off x="6981825" y="1409700"/>
          <a:ext cx="1962150"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b="1"/>
            <a:t>Average Annual </a:t>
          </a:r>
          <a:r>
            <a:rPr lang="en-US" sz="1400" b="1">
              <a:solidFill>
                <a:schemeClr val="accent4"/>
              </a:solidFill>
            </a:rPr>
            <a:t>Wage</a:t>
          </a:r>
        </a:p>
      </xdr:txBody>
    </xdr:sp>
    <xdr:clientData/>
  </xdr:oneCellAnchor>
  <xdr:oneCellAnchor>
    <xdr:from>
      <xdr:col>9</xdr:col>
      <xdr:colOff>1219200</xdr:colOff>
      <xdr:row>7</xdr:row>
      <xdr:rowOff>21413</xdr:rowOff>
    </xdr:from>
    <xdr:ext cx="2250360" cy="311496"/>
    <xdr:sp macro="" textlink="">
      <xdr:nvSpPr>
        <xdr:cNvPr id="11" name="TextBox 10">
          <a:extLst>
            <a:ext uri="{FF2B5EF4-FFF2-40B4-BE49-F238E27FC236}">
              <a16:creationId xmlns:a16="http://schemas.microsoft.com/office/drawing/2014/main" id="{7F2FF3CD-CEDC-0E86-D093-B2B3D5DD7121}"/>
            </a:ext>
          </a:extLst>
        </xdr:cNvPr>
        <xdr:cNvSpPr txBox="1"/>
      </xdr:nvSpPr>
      <xdr:spPr>
        <a:xfrm>
          <a:off x="9334500" y="1431113"/>
          <a:ext cx="2250360" cy="311496"/>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solidFill>
                <a:srgbClr val="00B0F0"/>
              </a:solidFill>
            </a:rPr>
            <a:t>Employees</a:t>
          </a:r>
          <a:r>
            <a:rPr lang="en-US" sz="1400" b="1"/>
            <a:t> per 1,000 Capita</a:t>
          </a:r>
        </a:p>
      </xdr:txBody>
    </xdr:sp>
    <xdr:clientData/>
  </xdr:oneCellAnchor>
  <xdr:twoCellAnchor editAs="oneCell">
    <xdr:from>
      <xdr:col>9</xdr:col>
      <xdr:colOff>1590675</xdr:colOff>
      <xdr:row>1</xdr:row>
      <xdr:rowOff>0</xdr:rowOff>
    </xdr:from>
    <xdr:to>
      <xdr:col>11</xdr:col>
      <xdr:colOff>375075</xdr:colOff>
      <xdr:row>5</xdr:row>
      <xdr:rowOff>66</xdr:rowOff>
    </xdr:to>
    <xdr:pic>
      <xdr:nvPicPr>
        <xdr:cNvPr id="13" name="Picture 12">
          <a:extLst>
            <a:ext uri="{FF2B5EF4-FFF2-40B4-BE49-F238E27FC236}">
              <a16:creationId xmlns:a16="http://schemas.microsoft.com/office/drawing/2014/main" id="{42888A27-532C-6372-BA5E-51AC0CE7E317}"/>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9705975" y="190500"/>
          <a:ext cx="1975275" cy="762066"/>
        </a:xfrm>
        <a:prstGeom prst="rect">
          <a:avLst/>
        </a:prstGeom>
      </xdr:spPr>
    </xdr:pic>
    <xdr:clientData/>
  </xdr:twoCellAnchor>
</xdr:wsDr>
</file>

<file path=xl/drawings/drawing3.xml><?xml version="1.0" encoding="utf-8"?>
<c:userShapes xmlns:c="http://schemas.openxmlformats.org/drawingml/2006/chart">
  <cdr:relSizeAnchor xmlns:cdr="http://schemas.openxmlformats.org/drawingml/2006/chartDrawing">
    <cdr:from>
      <cdr:x>0.74194</cdr:x>
      <cdr:y>0.30973</cdr:y>
    </cdr:from>
    <cdr:to>
      <cdr:x>0.9447</cdr:x>
      <cdr:y>0.65487</cdr:y>
    </cdr:to>
    <cdr:sp macro="" textlink="">
      <cdr:nvSpPr>
        <cdr:cNvPr id="2" name="TextBox 1">
          <a:extLst xmlns:a="http://schemas.openxmlformats.org/drawingml/2006/main">
            <a:ext uri="{FF2B5EF4-FFF2-40B4-BE49-F238E27FC236}">
              <a16:creationId xmlns:a16="http://schemas.microsoft.com/office/drawing/2014/main" id="{8A5D79D8-8766-8370-0367-3E8770CE1496}"/>
            </a:ext>
          </a:extLst>
        </cdr:cNvPr>
        <cdr:cNvSpPr txBox="1"/>
      </cdr:nvSpPr>
      <cdr:spPr>
        <a:xfrm xmlns:a="http://schemas.openxmlformats.org/drawingml/2006/main">
          <a:off x="1533524" y="333375"/>
          <a:ext cx="419100" cy="37147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userShapes>
</file>

<file path=xl/richData/_rels/rdRichValueWebImage.xml.rels><?xml version="1.0" encoding="UTF-8" standalone="yes"?>
<Relationships xmlns="http://schemas.openxmlformats.org/package/2006/relationships"><Relationship Id="rId26" Type="http://schemas.openxmlformats.org/officeDocument/2006/relationships/hyperlink" Target="https://www.bing.com/images/search?form=xlimg&amp;q=Iowa" TargetMode="External"/><Relationship Id="rId21" Type="http://schemas.openxmlformats.org/officeDocument/2006/relationships/hyperlink" Target="https://www.bing.com/th?id=OSK.25a374587d56b5b92ef759ecb4ca433e&amp;qlt=95" TargetMode="External"/><Relationship Id="rId42" Type="http://schemas.openxmlformats.org/officeDocument/2006/relationships/hyperlink" Target="https://www.bing.com/images/search?form=xlimg&amp;q=Minnesota" TargetMode="External"/><Relationship Id="rId47" Type="http://schemas.openxmlformats.org/officeDocument/2006/relationships/hyperlink" Target="https://www.bing.com/th?id=OSK.6e99b3a35b5283679ec93f7f63efad4b&amp;qlt=95" TargetMode="External"/><Relationship Id="rId63" Type="http://schemas.openxmlformats.org/officeDocument/2006/relationships/hyperlink" Target="https://www.bing.com/th?id=OSK.ed287c6622f118e47e52b8fdb9bbbe66&amp;qlt=95" TargetMode="External"/><Relationship Id="rId68" Type="http://schemas.openxmlformats.org/officeDocument/2006/relationships/hyperlink" Target="https://www.bing.com/images/search?form=xlimg&amp;q=Oklahoma" TargetMode="External"/><Relationship Id="rId84" Type="http://schemas.openxmlformats.org/officeDocument/2006/relationships/hyperlink" Target="https://www.bing.com/images/search?form=xlimg&amp;q=Utah" TargetMode="External"/><Relationship Id="rId89" Type="http://schemas.openxmlformats.org/officeDocument/2006/relationships/hyperlink" Target="https://www.bing.com/th?id=OSK.c93832872ec0dad4a158b06bab80ac3b&amp;qlt=95" TargetMode="External"/><Relationship Id="rId16" Type="http://schemas.openxmlformats.org/officeDocument/2006/relationships/hyperlink" Target="https://www.bing.com/images/search?form=xlimg&amp;q=Florida" TargetMode="External"/><Relationship Id="rId11" Type="http://schemas.openxmlformats.org/officeDocument/2006/relationships/hyperlink" Target="https://www.bing.com/th?id=OSK.30ceb575fb4214ce576b42df18666e43&amp;qlt=95" TargetMode="External"/><Relationship Id="rId32" Type="http://schemas.openxmlformats.org/officeDocument/2006/relationships/hyperlink" Target="https://www.bing.com/images/search?form=xlimg&amp;q=Louisiana" TargetMode="External"/><Relationship Id="rId37" Type="http://schemas.openxmlformats.org/officeDocument/2006/relationships/hyperlink" Target="https://www.bing.com/th?id=OSK.987b2cac28f5ea262ad37b9b21c25b33&amp;qlt=95" TargetMode="External"/><Relationship Id="rId53" Type="http://schemas.openxmlformats.org/officeDocument/2006/relationships/hyperlink" Target="https://www.bing.com/th?id=OSK.8765bc34549db3212c790029d195d8d1&amp;qlt=95" TargetMode="External"/><Relationship Id="rId58" Type="http://schemas.openxmlformats.org/officeDocument/2006/relationships/hyperlink" Target="https://www.bing.com/images/search?form=xlimg&amp;q=New%20Mexico" TargetMode="External"/><Relationship Id="rId74" Type="http://schemas.openxmlformats.org/officeDocument/2006/relationships/hyperlink" Target="https://www.bing.com/images/search?form=xlimg&amp;q=Rhode%20Island" TargetMode="External"/><Relationship Id="rId79" Type="http://schemas.openxmlformats.org/officeDocument/2006/relationships/hyperlink" Target="https://www.bing.com/th?id=OSK.26f38040dc3621419471c380612daf02&amp;qlt=95" TargetMode="External"/><Relationship Id="rId5" Type="http://schemas.openxmlformats.org/officeDocument/2006/relationships/hyperlink" Target="https://www.bing.com/th?id=OSK.753ebef48024a78057065fde53116aa7&amp;qlt=95" TargetMode="External"/><Relationship Id="rId90" Type="http://schemas.openxmlformats.org/officeDocument/2006/relationships/hyperlink" Target="https://www.bing.com/images/search?form=xlimg&amp;q=Washington%20(state)" TargetMode="External"/><Relationship Id="rId95" Type="http://schemas.openxmlformats.org/officeDocument/2006/relationships/hyperlink" Target="https://www.bing.com/th?id=OSK.c90021b564dcb9deeb722c1768bcb07d&amp;qlt=95" TargetMode="External"/><Relationship Id="rId22" Type="http://schemas.openxmlformats.org/officeDocument/2006/relationships/hyperlink" Target="https://www.bing.com/images/search?form=xlimg&amp;q=Illinois" TargetMode="External"/><Relationship Id="rId27" Type="http://schemas.openxmlformats.org/officeDocument/2006/relationships/hyperlink" Target="https://www.bing.com/th?id=OSK.1ee03cb7dca1dce2cd8760d573bcd394&amp;qlt=95" TargetMode="External"/><Relationship Id="rId43" Type="http://schemas.openxmlformats.org/officeDocument/2006/relationships/hyperlink" Target="https://www.bing.com/th?id=OSK.323715dbb9f63cb2003a10f3d6c907c1&amp;qlt=95" TargetMode="External"/><Relationship Id="rId48" Type="http://schemas.openxmlformats.org/officeDocument/2006/relationships/hyperlink" Target="https://www.bing.com/images/search?form=xlimg&amp;q=Montana" TargetMode="External"/><Relationship Id="rId64" Type="http://schemas.openxmlformats.org/officeDocument/2006/relationships/hyperlink" Target="https://www.bing.com/images/search?form=xlimg&amp;q=North%20Dakota" TargetMode="External"/><Relationship Id="rId69" Type="http://schemas.openxmlformats.org/officeDocument/2006/relationships/hyperlink" Target="https://www.bing.com/th?id=OSK.59f6fd6fb58b5bde34d283beef8c8e65&amp;qlt=95" TargetMode="External"/><Relationship Id="rId8" Type="http://schemas.openxmlformats.org/officeDocument/2006/relationships/hyperlink" Target="https://www.bing.com/images/search?form=xlimg&amp;q=California" TargetMode="External"/><Relationship Id="rId51" Type="http://schemas.openxmlformats.org/officeDocument/2006/relationships/hyperlink" Target="https://www.bing.com/th?id=OSK.d047bd399091b856d1d14db8fb53ce58&amp;qlt=95" TargetMode="External"/><Relationship Id="rId72" Type="http://schemas.openxmlformats.org/officeDocument/2006/relationships/hyperlink" Target="https://www.bing.com/images/search?form=xlimg&amp;q=Pennsylvania" TargetMode="External"/><Relationship Id="rId80" Type="http://schemas.openxmlformats.org/officeDocument/2006/relationships/hyperlink" Target="https://www.bing.com/images/search?form=xlimg&amp;q=Tennessee" TargetMode="External"/><Relationship Id="rId85" Type="http://schemas.openxmlformats.org/officeDocument/2006/relationships/hyperlink" Target="https://www.bing.com/th?id=OSK.1cfcbb65e7439d46cfb4b0db17de4825&amp;qlt=95" TargetMode="External"/><Relationship Id="rId93" Type="http://schemas.openxmlformats.org/officeDocument/2006/relationships/hyperlink" Target="https://www.bing.com/th?id=OSK.0678bd4067f4a421f3884b05dad25be4&amp;qlt=95" TargetMode="External"/><Relationship Id="rId3" Type="http://schemas.openxmlformats.org/officeDocument/2006/relationships/hyperlink" Target="https://www.bing.com/th?id=OSK.0641697055dc04237b54e70519cef566&amp;qlt=95" TargetMode="External"/><Relationship Id="rId12" Type="http://schemas.openxmlformats.org/officeDocument/2006/relationships/hyperlink" Target="https://www.bing.com/images/search?form=xlimg&amp;q=Connecticut" TargetMode="External"/><Relationship Id="rId17" Type="http://schemas.openxmlformats.org/officeDocument/2006/relationships/hyperlink" Target="https://www.bing.com/th?id=OSK.iPzXUKHWAaw04XjL2EOEYVLq1LOFWzsqpmjL3hkyFFc&amp;qlt=95" TargetMode="External"/><Relationship Id="rId25" Type="http://schemas.openxmlformats.org/officeDocument/2006/relationships/hyperlink" Target="https://www.bing.com/th?id=OSK.153231065b610cb99cb3435b59eccac2&amp;qlt=95" TargetMode="External"/><Relationship Id="rId33" Type="http://schemas.openxmlformats.org/officeDocument/2006/relationships/hyperlink" Target="https://www.bing.com/th?id=OSK.vd_V3U9X0lajLe43FyaW18xTxnMwhmH5FlQECH06M3s&amp;qlt=95" TargetMode="External"/><Relationship Id="rId38" Type="http://schemas.openxmlformats.org/officeDocument/2006/relationships/hyperlink" Target="https://www.bing.com/images/search?form=xlimg&amp;q=Massachusetts" TargetMode="External"/><Relationship Id="rId46" Type="http://schemas.openxmlformats.org/officeDocument/2006/relationships/hyperlink" Target="https://www.bing.com/images/search?form=xlimg&amp;q=Missouri" TargetMode="External"/><Relationship Id="rId59" Type="http://schemas.openxmlformats.org/officeDocument/2006/relationships/hyperlink" Target="https://www.bing.com/th?id=OSK.cba7f275842a20f49b98d704e1366fd5&amp;qlt=95" TargetMode="External"/><Relationship Id="rId67" Type="http://schemas.openxmlformats.org/officeDocument/2006/relationships/hyperlink" Target="https://www.bing.com/th?id=OSK.dc4854218778b6f007a0fb39483a9a3f&amp;qlt=95" TargetMode="External"/><Relationship Id="rId20" Type="http://schemas.openxmlformats.org/officeDocument/2006/relationships/hyperlink" Target="https://www.bing.com/images/search?form=xlimg&amp;q=Idaho" TargetMode="External"/><Relationship Id="rId41" Type="http://schemas.openxmlformats.org/officeDocument/2006/relationships/hyperlink" Target="https://www.bing.com/th?id=OSK.40b19650ace0234fdb053333f72c8df0&amp;qlt=95" TargetMode="External"/><Relationship Id="rId54" Type="http://schemas.openxmlformats.org/officeDocument/2006/relationships/hyperlink" Target="https://www.bing.com/images/search?form=xlimg&amp;q=New%20Hampshire" TargetMode="External"/><Relationship Id="rId62" Type="http://schemas.openxmlformats.org/officeDocument/2006/relationships/hyperlink" Target="https://www.bing.com/images/search?form=xlimg&amp;q=North%20Carolina" TargetMode="External"/><Relationship Id="rId70" Type="http://schemas.openxmlformats.org/officeDocument/2006/relationships/hyperlink" Target="https://www.bing.com/images/search?form=xlimg&amp;q=Oregon" TargetMode="External"/><Relationship Id="rId75" Type="http://schemas.openxmlformats.org/officeDocument/2006/relationships/hyperlink" Target="https://www.bing.com/th?id=OSK.f57f7916e76fc47c2a83efc3859d6379&amp;qlt=95" TargetMode="External"/><Relationship Id="rId83" Type="http://schemas.openxmlformats.org/officeDocument/2006/relationships/hyperlink" Target="https://www.bing.com/th?id=OSK.1973703d864373b47ab825b2a978ab2d&amp;qlt=95" TargetMode="External"/><Relationship Id="rId88" Type="http://schemas.openxmlformats.org/officeDocument/2006/relationships/hyperlink" Target="https://www.bing.com/images/search?form=xlimg&amp;q=Virginia" TargetMode="External"/><Relationship Id="rId91" Type="http://schemas.openxmlformats.org/officeDocument/2006/relationships/hyperlink" Target="https://www.bing.com/th?id=OSK.b1c658d27e8d1f33822457c8ff27793b&amp;qlt=95" TargetMode="External"/><Relationship Id="rId96" Type="http://schemas.openxmlformats.org/officeDocument/2006/relationships/hyperlink" Target="https://www.bing.com/images/search?form=xlimg&amp;q=Wyoming" TargetMode="External"/><Relationship Id="rId1" Type="http://schemas.openxmlformats.org/officeDocument/2006/relationships/hyperlink" Target="https://www.bing.com/th?id=OSK.96504eb3b24d83901c02e94131e1d16d&amp;qlt=95" TargetMode="External"/><Relationship Id="rId6" Type="http://schemas.openxmlformats.org/officeDocument/2006/relationships/hyperlink" Target="https://www.bing.com/images/search?form=xlimg&amp;q=Arkansas" TargetMode="External"/><Relationship Id="rId15" Type="http://schemas.openxmlformats.org/officeDocument/2006/relationships/hyperlink" Target="https://www.bing.com/th?id=OSK.5c9644308dc1fc218d48a103b8cf93f9&amp;qlt=95" TargetMode="External"/><Relationship Id="rId23" Type="http://schemas.openxmlformats.org/officeDocument/2006/relationships/hyperlink" Target="https://www.bing.com/th?id=OSK.4ff7d688245f99bc5db3bd5b106d2ad0&amp;qlt=95" TargetMode="External"/><Relationship Id="rId28" Type="http://schemas.openxmlformats.org/officeDocument/2006/relationships/hyperlink" Target="https://www.bing.com/images/search?form=xlimg&amp;q=Kansas" TargetMode="External"/><Relationship Id="rId36" Type="http://schemas.openxmlformats.org/officeDocument/2006/relationships/hyperlink" Target="https://www.bing.com/images/search?form=xlimg&amp;q=Maryland" TargetMode="External"/><Relationship Id="rId49" Type="http://schemas.openxmlformats.org/officeDocument/2006/relationships/hyperlink" Target="https://www.bing.com/th?id=OSK.09fb0d37cacee3c3feb04b7452bd8436&amp;qlt=95" TargetMode="External"/><Relationship Id="rId57" Type="http://schemas.openxmlformats.org/officeDocument/2006/relationships/hyperlink" Target="https://www.bing.com/th?id=OSK.0fdd9d38459c62ca5b483a2e70bce404&amp;qlt=95" TargetMode="External"/><Relationship Id="rId10" Type="http://schemas.openxmlformats.org/officeDocument/2006/relationships/hyperlink" Target="https://www.bing.com/images/search?form=xlimg&amp;q=Colorado" TargetMode="External"/><Relationship Id="rId31" Type="http://schemas.openxmlformats.org/officeDocument/2006/relationships/hyperlink" Target="https://www.bing.com/th?id=OSK.fa968de5bc9179e15dd5970b87b94444&amp;qlt=95" TargetMode="External"/><Relationship Id="rId44" Type="http://schemas.openxmlformats.org/officeDocument/2006/relationships/hyperlink" Target="https://www.bing.com/images/search?form=xlimg&amp;q=Mississippi" TargetMode="External"/><Relationship Id="rId52" Type="http://schemas.openxmlformats.org/officeDocument/2006/relationships/hyperlink" Target="https://www.bing.com/images/search?form=xlimg&amp;q=Nevada" TargetMode="External"/><Relationship Id="rId60" Type="http://schemas.openxmlformats.org/officeDocument/2006/relationships/hyperlink" Target="https://www.bing.com/images/search?form=xlimg&amp;q=New%20York%20(state)" TargetMode="External"/><Relationship Id="rId65" Type="http://schemas.openxmlformats.org/officeDocument/2006/relationships/hyperlink" Target="https://www.bing.com/th?id=OSK.c7564e2587d2574bf5d87241964f6496&amp;qlt=95" TargetMode="External"/><Relationship Id="rId73" Type="http://schemas.openxmlformats.org/officeDocument/2006/relationships/hyperlink" Target="https://www.bing.com/th?id=OSK.8836cf6b96e037858c8bcf7fe60e2737&amp;qlt=95" TargetMode="External"/><Relationship Id="rId78" Type="http://schemas.openxmlformats.org/officeDocument/2006/relationships/hyperlink" Target="https://www.bing.com/images/search?form=xlimg&amp;q=South%20Dakota" TargetMode="External"/><Relationship Id="rId81" Type="http://schemas.openxmlformats.org/officeDocument/2006/relationships/hyperlink" Target="https://www.bing.com/th?id=OSK.64a722b3d40292398291610dc8c47d2c&amp;qlt=95" TargetMode="External"/><Relationship Id="rId86" Type="http://schemas.openxmlformats.org/officeDocument/2006/relationships/hyperlink" Target="https://www.bing.com/images/search?form=xlimg&amp;q=Vermont" TargetMode="External"/><Relationship Id="rId94" Type="http://schemas.openxmlformats.org/officeDocument/2006/relationships/hyperlink" Target="https://www.bing.com/images/search?form=xlimg&amp;q=Wisconsin" TargetMode="External"/><Relationship Id="rId4" Type="http://schemas.openxmlformats.org/officeDocument/2006/relationships/hyperlink" Target="https://www.bing.com/images/search?form=xlimg&amp;q=Arizona" TargetMode="External"/><Relationship Id="rId9" Type="http://schemas.openxmlformats.org/officeDocument/2006/relationships/hyperlink" Target="https://www.bing.com/th?id=OSK.e3cff3492e954506af4fb2c8552f6135&amp;qlt=95" TargetMode="External"/><Relationship Id="rId13" Type="http://schemas.openxmlformats.org/officeDocument/2006/relationships/hyperlink" Target="https://www.bing.com/th?id=OSK.c3142df960c4f8117185ab608e4271fc&amp;qlt=95" TargetMode="External"/><Relationship Id="rId18" Type="http://schemas.openxmlformats.org/officeDocument/2006/relationships/hyperlink" Target="https://www.bing.com/images/search?form=xlimg&amp;q=Georgia%20(U.S.%20state)" TargetMode="External"/><Relationship Id="rId39" Type="http://schemas.openxmlformats.org/officeDocument/2006/relationships/hyperlink" Target="https://www.bing.com/th?id=OSK.5e5edbee64005edbf411df0671fae1da&amp;qlt=95" TargetMode="External"/><Relationship Id="rId34" Type="http://schemas.openxmlformats.org/officeDocument/2006/relationships/hyperlink" Target="https://www.bing.com/images/search?form=xlimg&amp;q=Maine" TargetMode="External"/><Relationship Id="rId50" Type="http://schemas.openxmlformats.org/officeDocument/2006/relationships/hyperlink" Target="https://www.bing.com/images/search?form=xlimg&amp;q=Nebraska" TargetMode="External"/><Relationship Id="rId55" Type="http://schemas.openxmlformats.org/officeDocument/2006/relationships/hyperlink" Target="https://www.bing.com/th?id=OSK.d94bc1bbe9e38d93fa0834150fe54c1a&amp;qlt=95" TargetMode="External"/><Relationship Id="rId76" Type="http://schemas.openxmlformats.org/officeDocument/2006/relationships/hyperlink" Target="https://www.bing.com/images/search?form=xlimg&amp;q=South%20Carolina" TargetMode="External"/><Relationship Id="rId7" Type="http://schemas.openxmlformats.org/officeDocument/2006/relationships/hyperlink" Target="https://www.bing.com/th?id=OSK.00be164b931c0a9427c0a2ebdae3e140&amp;qlt=95" TargetMode="External"/><Relationship Id="rId71" Type="http://schemas.openxmlformats.org/officeDocument/2006/relationships/hyperlink" Target="https://www.bing.com/th?id=OSK.7bfbead25a8cd788f9ef5c17097be1bc&amp;qlt=95" TargetMode="External"/><Relationship Id="rId92" Type="http://schemas.openxmlformats.org/officeDocument/2006/relationships/hyperlink" Target="https://www.bing.com/images/search?form=xlimg&amp;q=West%20Virginia" TargetMode="External"/><Relationship Id="rId2" Type="http://schemas.openxmlformats.org/officeDocument/2006/relationships/hyperlink" Target="https://www.bing.com/images/search?form=xlimg&amp;q=Alabama" TargetMode="External"/><Relationship Id="rId29" Type="http://schemas.openxmlformats.org/officeDocument/2006/relationships/hyperlink" Target="https://www.bing.com/th?id=OSK.e751b37b293608b5e613743d1502ad91&amp;qlt=95" TargetMode="External"/><Relationship Id="rId24" Type="http://schemas.openxmlformats.org/officeDocument/2006/relationships/hyperlink" Target="https://www.bing.com/images/search?form=xlimg&amp;q=Indiana" TargetMode="External"/><Relationship Id="rId40" Type="http://schemas.openxmlformats.org/officeDocument/2006/relationships/hyperlink" Target="https://www.bing.com/images/search?form=xlimg&amp;q=Michigan" TargetMode="External"/><Relationship Id="rId45" Type="http://schemas.openxmlformats.org/officeDocument/2006/relationships/hyperlink" Target="https://www.bing.com/th?id=OSK.1cd4f85af3824efb5042b916ad3717a9&amp;qlt=95" TargetMode="External"/><Relationship Id="rId66" Type="http://schemas.openxmlformats.org/officeDocument/2006/relationships/hyperlink" Target="https://www.bing.com/images/search?form=xlimg&amp;q=Ohio" TargetMode="External"/><Relationship Id="rId87" Type="http://schemas.openxmlformats.org/officeDocument/2006/relationships/hyperlink" Target="https://www.bing.com/th?id=OSK.14d323e3784d30722d6785a6cef8f9c3&amp;qlt=95" TargetMode="External"/><Relationship Id="rId61" Type="http://schemas.openxmlformats.org/officeDocument/2006/relationships/hyperlink" Target="https://www.bing.com/th?id=OSK.03c72211b35cb109bcdc7d51ef4f03c5&amp;qlt=95" TargetMode="External"/><Relationship Id="rId82" Type="http://schemas.openxmlformats.org/officeDocument/2006/relationships/hyperlink" Target="https://www.bing.com/images/search?form=xlimg&amp;q=Texas" TargetMode="External"/><Relationship Id="rId19" Type="http://schemas.openxmlformats.org/officeDocument/2006/relationships/hyperlink" Target="https://www.bing.com/th?id=OSK.82338761f223882a4fcd0a92801d2f03&amp;qlt=95" TargetMode="External"/><Relationship Id="rId14" Type="http://schemas.openxmlformats.org/officeDocument/2006/relationships/hyperlink" Target="https://www.bing.com/images/search?form=xlimg&amp;q=Delaware" TargetMode="External"/><Relationship Id="rId30" Type="http://schemas.openxmlformats.org/officeDocument/2006/relationships/hyperlink" Target="https://www.bing.com/images/search?form=xlimg&amp;q=Kentucky" TargetMode="External"/><Relationship Id="rId35" Type="http://schemas.openxmlformats.org/officeDocument/2006/relationships/hyperlink" Target="https://www.bing.com/th?id=OSK.d483d5dc76abe8ffbb564ee6e0ff5866&amp;qlt=95" TargetMode="External"/><Relationship Id="rId56" Type="http://schemas.openxmlformats.org/officeDocument/2006/relationships/hyperlink" Target="https://www.bing.com/images/search?form=xlimg&amp;q=New%20Jersey" TargetMode="External"/><Relationship Id="rId77" Type="http://schemas.openxmlformats.org/officeDocument/2006/relationships/hyperlink" Target="https://www.bing.com/th?id=OSK.a7b6c781f79f5a9ea41fc2991e947b35&amp;qlt=95"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rd>
    <address r:id="rId11"/>
    <moreImagesAddress r:id="rId12"/>
  </webImageSrd>
  <webImageSrd>
    <address r:id="rId13"/>
    <moreImagesAddress r:id="rId14"/>
  </webImageSrd>
  <webImageSrd>
    <address r:id="rId15"/>
    <moreImagesAddress r:id="rId16"/>
  </webImageSrd>
  <webImageSrd>
    <address r:id="rId17"/>
    <moreImagesAddress r:id="rId18"/>
  </webImageSrd>
  <webImageSrd>
    <address r:id="rId19"/>
    <moreImagesAddress r:id="rId20"/>
  </webImageSrd>
  <webImageSrd>
    <address r:id="rId21"/>
    <moreImagesAddress r:id="rId22"/>
  </webImageSrd>
  <webImageSrd>
    <address r:id="rId23"/>
    <moreImagesAddress r:id="rId24"/>
  </webImageSrd>
  <webImageSrd>
    <address r:id="rId25"/>
    <moreImagesAddress r:id="rId26"/>
  </webImageSrd>
  <webImageSrd>
    <address r:id="rId27"/>
    <moreImagesAddress r:id="rId28"/>
  </webImageSrd>
  <webImageSrd>
    <address r:id="rId29"/>
    <moreImagesAddress r:id="rId30"/>
  </webImageSrd>
  <webImageSrd>
    <address r:id="rId31"/>
    <moreImagesAddress r:id="rId32"/>
  </webImageSrd>
  <webImageSrd>
    <address r:id="rId33"/>
    <moreImagesAddress r:id="rId34"/>
  </webImageSrd>
  <webImageSrd>
    <address r:id="rId35"/>
    <moreImagesAddress r:id="rId36"/>
  </webImageSrd>
  <webImageSrd>
    <address r:id="rId37"/>
    <moreImagesAddress r:id="rId38"/>
  </webImageSrd>
  <webImageSrd>
    <address r:id="rId39"/>
    <moreImagesAddress r:id="rId40"/>
  </webImageSrd>
  <webImageSrd>
    <address r:id="rId41"/>
    <moreImagesAddress r:id="rId42"/>
  </webImageSrd>
  <webImageSrd>
    <address r:id="rId43"/>
    <moreImagesAddress r:id="rId44"/>
  </webImageSrd>
  <webImageSrd>
    <address r:id="rId45"/>
    <moreImagesAddress r:id="rId46"/>
  </webImageSrd>
  <webImageSrd>
    <address r:id="rId47"/>
    <moreImagesAddress r:id="rId48"/>
  </webImageSrd>
  <webImageSrd>
    <address r:id="rId49"/>
    <moreImagesAddress r:id="rId50"/>
  </webImageSrd>
  <webImageSrd>
    <address r:id="rId51"/>
    <moreImagesAddress r:id="rId52"/>
  </webImageSrd>
  <webImageSrd>
    <address r:id="rId53"/>
    <moreImagesAddress r:id="rId54"/>
  </webImageSrd>
  <webImageSrd>
    <address r:id="rId55"/>
    <moreImagesAddress r:id="rId56"/>
  </webImageSrd>
  <webImageSrd>
    <address r:id="rId57"/>
    <moreImagesAddress r:id="rId58"/>
  </webImageSrd>
  <webImageSrd>
    <address r:id="rId59"/>
    <moreImagesAddress r:id="rId60"/>
  </webImageSrd>
  <webImageSrd>
    <address r:id="rId61"/>
    <moreImagesAddress r:id="rId62"/>
  </webImageSrd>
  <webImageSrd>
    <address r:id="rId63"/>
    <moreImagesAddress r:id="rId64"/>
  </webImageSrd>
  <webImageSrd>
    <address r:id="rId65"/>
    <moreImagesAddress r:id="rId66"/>
  </webImageSrd>
  <webImageSrd>
    <address r:id="rId67"/>
    <moreImagesAddress r:id="rId68"/>
  </webImageSrd>
  <webImageSrd>
    <address r:id="rId69"/>
    <moreImagesAddress r:id="rId70"/>
  </webImageSrd>
  <webImageSrd>
    <address r:id="rId71"/>
    <moreImagesAddress r:id="rId72"/>
  </webImageSrd>
  <webImageSrd>
    <address r:id="rId73"/>
    <moreImagesAddress r:id="rId74"/>
  </webImageSrd>
  <webImageSrd>
    <address r:id="rId75"/>
    <moreImagesAddress r:id="rId76"/>
  </webImageSrd>
  <webImageSrd>
    <address r:id="rId77"/>
    <moreImagesAddress r:id="rId78"/>
  </webImageSrd>
  <webImageSrd>
    <address r:id="rId79"/>
    <moreImagesAddress r:id="rId80"/>
  </webImageSrd>
  <webImageSrd>
    <address r:id="rId81"/>
    <moreImagesAddress r:id="rId82"/>
  </webImageSrd>
  <webImageSrd>
    <address r:id="rId83"/>
    <moreImagesAddress r:id="rId84"/>
  </webImageSrd>
  <webImageSrd>
    <address r:id="rId85"/>
    <moreImagesAddress r:id="rId86"/>
  </webImageSrd>
  <webImageSrd>
    <address r:id="rId87"/>
    <moreImagesAddress r:id="rId88"/>
  </webImageSrd>
  <webImageSrd>
    <address r:id="rId89"/>
    <moreImagesAddress r:id="rId90"/>
  </webImageSrd>
  <webImageSrd>
    <address r:id="rId91"/>
    <moreImagesAddress r:id="rId92"/>
  </webImageSrd>
  <webImageSrd>
    <address r:id="rId93"/>
    <moreImagesAddress r:id="rId94"/>
  </webImageSrd>
  <webImageSrd>
    <address r:id="rId95"/>
    <moreImagesAddress r:id="rId96"/>
  </webImageSrd>
</webImagesSrd>
</file>

<file path=xl/richData/rdarray.xml><?xml version="1.0" encoding="utf-8"?>
<arrayData xmlns="http://schemas.microsoft.com/office/spreadsheetml/2017/richdata2" count="65">
  <a r="4">
    <v t="r">9</v>
    <v t="r">10</v>
    <v t="r">11</v>
    <v t="r">12</v>
  </a>
  <a r="1">
    <v t="s">English</v>
  </a>
  <a r="1">
    <v t="s">Central Time Zone</v>
  </a>
  <a r="4">
    <v t="r">46</v>
    <v t="r">47</v>
    <v t="r">48</v>
    <v t="r">49</v>
  </a>
  <a r="1">
    <v t="s">Mountain Time Zone</v>
  </a>
  <a r="4">
    <v t="r">82</v>
    <v t="r">83</v>
    <v t="r">84</v>
    <v t="r">85</v>
  </a>
  <a r="1">
    <v t="s">English language</v>
  </a>
  <a r="4">
    <v t="r">116</v>
    <v t="r">117</v>
    <v t="r">118</v>
    <v t="r">119</v>
  </a>
  <a r="1">
    <v t="s">Pacific Time Zone</v>
  </a>
  <a r="4">
    <v t="r">151</v>
    <v t="r">152</v>
    <v t="r">153</v>
    <v t="r">154</v>
  </a>
  <a r="1">
    <v t="s">UTC−07:00</v>
  </a>
  <a r="4">
    <v t="r">186</v>
    <v t="r">187</v>
    <v t="r">188</v>
    <v t="r">189</v>
  </a>
  <a r="1">
    <v t="s">Eastern Time Zone</v>
  </a>
  <a r="4">
    <v t="r">220</v>
    <v t="r">221</v>
    <v t="r">222</v>
    <v t="r">223</v>
  </a>
  <a r="3">
    <v t="r">251</v>
    <v t="r">252</v>
    <v t="r">253</v>
  </a>
  <a r="2">
    <v t="s">Eastern Time Zone</v>
    <v t="s">Central Time Zone</v>
  </a>
  <a r="4">
    <v t="r">280</v>
    <v t="r">281</v>
    <v t="r">282</v>
    <v t="r">283</v>
  </a>
  <a r="4">
    <v t="r">308</v>
    <v t="r">309</v>
    <v t="r">310</v>
    <v t="r">311</v>
  </a>
  <a r="2">
    <v t="s">UTC−07:00</v>
    <v t="s">UTC−08:00</v>
  </a>
  <a r="4">
    <v t="r">339</v>
    <v t="r">340</v>
    <v t="r">341</v>
    <v t="r">342</v>
  </a>
  <a r="4">
    <v t="r">368</v>
    <v t="r">369</v>
    <v t="r">370</v>
    <v t="r">371</v>
  </a>
  <a r="4">
    <v t="r">396</v>
    <v t="r">397</v>
    <v t="r">398</v>
    <v t="r">399</v>
  </a>
  <a r="4">
    <v t="r">424</v>
    <v t="r">425</v>
    <v t="r">426</v>
    <v t="r">427</v>
  </a>
  <a r="4">
    <v t="r">451</v>
    <v t="r">452</v>
    <v t="r">453</v>
    <v t="r">454</v>
  </a>
  <a r="4">
    <v t="r">480</v>
    <v t="r">481</v>
    <v t="r">482</v>
    <v t="r">483</v>
  </a>
  <a r="1">
    <v t="s">Louisiana French</v>
  </a>
  <a r="3">
    <v t="r">510</v>
    <v t="r">511</v>
    <v t="r">512</v>
  </a>
  <a r="4">
    <v t="r">537</v>
    <v t="r">538</v>
    <v t="r">539</v>
    <v t="r">540</v>
  </a>
  <a r="4">
    <v t="r">564</v>
    <v t="r">565</v>
    <v t="r">566</v>
    <v t="r">567</v>
  </a>
  <a r="4">
    <v t="r">591</v>
    <v t="r">592</v>
    <v t="r">593</v>
    <v t="r">594</v>
  </a>
  <a r="4">
    <v t="r">620</v>
    <v t="r">621</v>
    <v t="r">622</v>
    <v t="r">623</v>
  </a>
  <a r="4">
    <v t="r">646</v>
    <v t="r">647</v>
    <v t="r">648</v>
    <v t="r">649</v>
  </a>
  <a r="4">
    <v t="r">673</v>
    <v t="r">674</v>
    <v t="r">675</v>
    <v t="r">676</v>
  </a>
  <a r="4">
    <v t="r">696</v>
    <v t="r">697</v>
    <v t="r">698</v>
    <v t="r">699</v>
  </a>
  <a r="4">
    <v t="r">726</v>
    <v t="r">727</v>
    <v t="r">728</v>
    <v t="r">729</v>
  </a>
  <a r="4">
    <v t="r">753</v>
    <v t="r">754</v>
    <v t="r">755</v>
    <v t="r">756</v>
  </a>
  <a r="2">
    <v t="s">Pacific Time Zone</v>
    <v t="s">Mountain Time Zone</v>
  </a>
  <a r="3">
    <v t="r">782</v>
    <v t="r">783</v>
    <v t="r">784</v>
  </a>
  <a r="1">
    <v t="r">808</v>
  </a>
  <a r="4">
    <v t="r">831</v>
    <v t="r">832</v>
    <v t="r">833</v>
    <v t="r">834</v>
  </a>
  <a r="4">
    <v t="r">854</v>
    <v t="r">855</v>
    <v t="r">856</v>
    <v t="r">857</v>
  </a>
  <a r="4">
    <v t="r">878</v>
    <v t="r">879</v>
    <v t="r">880</v>
    <v t="r">881</v>
  </a>
  <a r="4">
    <v t="r">904</v>
    <v t="r">905</v>
    <v t="r">906</v>
    <v t="r">907</v>
  </a>
  <a r="2">
    <v t="s">Central Time Zone</v>
    <v t="s">Mountain Time Zone</v>
  </a>
  <a r="4">
    <v t="r">930</v>
    <v t="r">931</v>
    <v t="r">932</v>
    <v t="r">933</v>
  </a>
  <a r="3">
    <v t="s">English</v>
    <v t="s">De facto</v>
    <v t="s">De jure</v>
  </a>
  <a r="4">
    <v t="r">955</v>
    <v t="r">956</v>
    <v t="r">957</v>
    <v t="r">958</v>
  </a>
  <a r="4">
    <v t="r">980</v>
    <v t="r">981</v>
    <v t="r">982</v>
    <v t="r">983</v>
  </a>
  <a r="3">
    <v t="s">English language</v>
    <v t="s">De facto</v>
    <v t="s">De jure</v>
  </a>
  <a r="4">
    <v t="r">1005</v>
    <v t="r">1006</v>
    <v t="r">1007</v>
    <v t="r">1008</v>
  </a>
  <a r="4">
    <v t="r">1029</v>
    <v t="r">1030</v>
    <v t="r">1031</v>
    <v t="r">1032</v>
  </a>
  <a r="4">
    <v t="r">1053</v>
    <v t="r">1054</v>
    <v t="r">1055</v>
    <v t="r">1056</v>
  </a>
  <a r="4">
    <v t="r">1078</v>
    <v t="r">1079</v>
    <v t="r">1080</v>
    <v t="r">1081</v>
  </a>
  <a r="2">
    <v t="s">Sioux language</v>
    <v t="s">English language</v>
  </a>
  <a r="4">
    <v t="r">1102</v>
    <v t="r">1103</v>
    <v t="r">1104</v>
    <v t="r">1105</v>
  </a>
  <a r="4">
    <v t="r">1125</v>
    <v t="r">1126</v>
    <v t="r">1127</v>
    <v t="r">1128</v>
  </a>
  <a r="4">
    <v t="r">1150</v>
    <v t="r">1151</v>
    <v t="r">1152</v>
    <v t="r">1153</v>
  </a>
  <a r="4">
    <v t="r">1177</v>
    <v t="r">1178</v>
    <v t="r">1179</v>
    <v t="r">1180</v>
  </a>
  <a r="4">
    <v t="r">1201</v>
    <v t="r">1202</v>
    <v t="r">1203</v>
    <v t="r">1204</v>
  </a>
  <a r="4">
    <v t="r">1225</v>
    <v t="r">1226</v>
    <v t="r">1227</v>
    <v t="r">1228</v>
  </a>
  <a r="1">
    <v t="s">American English</v>
  </a>
  <a r="4">
    <v t="r">1251</v>
    <v t="r">1252</v>
    <v t="r">1253</v>
    <v t="r">1254</v>
  </a>
  <a r="2">
    <v t="s">English</v>
    <v t="s">De jure</v>
  </a>
  <a r="4">
    <v t="r">1279</v>
    <v t="r">1280</v>
    <v t="r">1281</v>
    <v t="r">1282</v>
  </a>
  <a r="4">
    <v t="r">1302</v>
    <v t="r">1303</v>
    <v t="r">1304</v>
    <v t="r">1305</v>
  </a>
</arrayData>
</file>

<file path=xl/richData/rdrichvalue.xml><?xml version="1.0" encoding="utf-8"?>
<rvData xmlns="http://schemas.microsoft.com/office/spreadsheetml/2017/richdata" count="1316">
  <rv s="0">
    <v>536870912</v>
    <v>Alabama</v>
    <v>376f8b06-52f6-4e72-a31d-311a3563e645</v>
    <v>en-US</v>
    <v>Map</v>
  </rv>
  <rv s="1">
    <fb>135765</fb>
    <v>11</v>
  </rv>
  <rv s="1">
    <fb>15001</fb>
    <v>11</v>
  </rv>
  <rv s="0">
    <v>536870912</v>
    <v>Montgomery, Alabama</v>
    <v>94461fee-ea89-40c8-9fd7-0fb277396c57</v>
    <v>en-US</v>
    <v>Map</v>
  </rv>
  <rv s="0">
    <v>536870912</v>
    <v>United States</v>
    <v>5232ed96-85b1-2edb-12c6-63e6c597a1de</v>
    <v>en-US</v>
    <v>Map</v>
  </rv>
  <rv s="1">
    <fb>1848325</fb>
    <v>11</v>
  </rv>
  <rv s="1">
    <fb>2230185</fb>
    <v>11</v>
  </rv>
  <rv s="2">
    <v>0</v>
    <v>9</v>
    <v>0</v>
    <v>7</v>
    <v>0</v>
    <v>Image of Alabama</v>
  </rv>
  <rv s="0">
    <v>536870912</v>
    <v>Huntsville, Alabama</v>
    <v>137418fd-4a88-44b7-82ae-882366c96167</v>
    <v>en-US</v>
    <v>Map</v>
  </rv>
  <rv s="0">
    <v>805306368</v>
    <v>Kay Ivey (Governor)</v>
    <v>a2f77bba-b8e2-c4d5-614a-3373a005b8ad</v>
    <v>en-US</v>
    <v>Generic</v>
  </rv>
  <rv s="0">
    <v>805306368</v>
    <v>Will Ainsworth (Lieutenant governor)</v>
    <v>94c54ae1-f876-5341-9b94-0f826d9b10a6</v>
    <v>en-US</v>
    <v>Generic</v>
  </rv>
  <rv s="0">
    <v>805306368</v>
    <v>Tommy Tuberville (Senate)</v>
    <v>6bb1615c-dfe2-d8f2-c1a4-3ada7a909798</v>
    <v>en-US</v>
    <v>Generic</v>
  </rv>
  <rv s="0">
    <v>805306368</v>
    <v>Katie Britt (Senate)</v>
    <v>9d3200b7-4be3-519b-5b79-781f390d3cb2</v>
    <v>en-US</v>
    <v>Generic</v>
  </rv>
  <rv s="3">
    <v>0</v>
  </rv>
  <rv s="4">
    <v>https://www.bing.com/search?q=alabama&amp;form=skydnc</v>
    <v>Learn more on Bing</v>
  </rv>
  <rv s="1">
    <fb>717</fb>
    <v>12</v>
  </rv>
  <rv s="1">
    <fb>43623</fb>
    <v>12</v>
  </rv>
  <rv s="1">
    <fb>125500</fb>
    <v>12</v>
  </rv>
  <rv s="3">
    <v>1</v>
  </rv>
  <rv s="1">
    <fb>2.5499999999999998</fb>
    <v>13</v>
  </rv>
  <rv s="1">
    <fb>5157699</fb>
    <v>11</v>
  </rv>
  <rv s="1">
    <fb>1.7000000000000001E-2</fb>
    <v>14</v>
  </rv>
  <rv s="1">
    <fb>0.157</fb>
    <v>14</v>
  </rv>
  <rv s="1">
    <fb>6.9999999999999993E-3</fb>
    <v>15</v>
  </rv>
  <rv s="1">
    <fb>1.3999999999999999E-2</fb>
    <v>14</v>
  </rv>
  <rv s="1">
    <fb>0.23499999999999999</fb>
    <v>14</v>
  </rv>
  <rv s="1">
    <fb>0.26800000000000002</fb>
    <v>14</v>
  </rv>
  <rv s="1">
    <fb>3.5000000000000003E-2</fb>
    <v>14</v>
  </rv>
  <rv s="1">
    <fb>0.84299999999999997</fb>
    <v>14</v>
  </rv>
  <rv s="1">
    <fb>4.2000000000000003E-2</fb>
    <v>14</v>
  </rv>
  <rv s="1">
    <fb>0.57999999999999996</fb>
    <v>14</v>
  </rv>
  <rv s="1">
    <fb>1E-3</fb>
    <v>14</v>
  </rv>
  <rv s="1">
    <fb>0.11800000000000001</fb>
    <v>14</v>
  </rv>
  <rv s="1">
    <fb>1.6E-2</fb>
    <v>14</v>
  </rv>
  <rv s="1">
    <fb>0.22699999999999998</fb>
    <v>14</v>
  </rv>
  <rv s="1">
    <fb>0.06</fb>
    <v>14</v>
  </rv>
  <rv s="1">
    <fb>0.69499999999999995</fb>
    <v>14</v>
  </rv>
  <rv s="3">
    <v>2</v>
  </rv>
  <rv s="5">
    <v>#VALUE!</v>
    <v>en-US</v>
    <v>376f8b06-52f6-4e72-a31d-311a3563e645</v>
    <v>536870912</v>
    <v>1</v>
    <v>4</v>
    <v>5</v>
    <v>Alabama</v>
    <v>7</v>
    <v>8</v>
    <v>Map</v>
    <v>9</v>
    <v>10</v>
    <v>US-AL</v>
    <v>1</v>
    <v>2</v>
    <v>3</v>
    <v>4</v>
    <v>Alabama is a state in the Southeastern region of the United States. It borders Tennessee to the north, Georgia to the east, Florida and the Gulf of Mexico to the south, and Mississippi to the west. Alabama is the 30th largest by area, and the ...</v>
    <v>5</v>
    <v>6</v>
    <v>7</v>
    <v>8</v>
    <v>13</v>
    <v>14</v>
    <v>15</v>
    <v>16</v>
    <v>17</v>
    <v>Alabama</v>
    <v>18</v>
    <v>19</v>
    <v>20</v>
    <v>21</v>
    <v>22</v>
    <v>23</v>
    <v>24</v>
    <v>25</v>
    <v>26</v>
    <v>27</v>
    <v>28</v>
    <v>29</v>
    <v>30</v>
    <v>31</v>
    <v>32</v>
    <v>33</v>
    <v>34</v>
    <v>35</v>
    <v>36</v>
    <v>37</v>
    <v>Alabama</v>
    <v>mdp/vdpid/1003</v>
  </rv>
  <rv s="0">
    <v>536870912</v>
    <v>Arizona</v>
    <v>bf973f46-5962-4997-a7ba-a05f1aa2a9f9</v>
    <v>en-US</v>
    <v>Map</v>
  </rv>
  <rv s="1">
    <fb>295234</fb>
    <v>11</v>
  </rv>
  <rv s="1">
    <fb>35578</fb>
    <v>11</v>
  </rv>
  <rv s="0">
    <v>536870912</v>
    <v>Phoenix, Arizona</v>
    <v>b06044c3-41e1-4e2a-bba7-27a29bba8ea9</v>
    <v>en-US</v>
    <v>Map</v>
  </rv>
  <rv s="1">
    <fb>2412212</fb>
    <v>11</v>
  </rv>
  <rv s="1">
    <fb>2961003</fb>
    <v>11</v>
  </rv>
  <rv s="2">
    <v>1</v>
    <v>9</v>
    <v>16</v>
    <v>7</v>
    <v>0</v>
    <v>Image of Arizona</v>
  </rv>
  <rv s="0">
    <v>805306368</v>
    <v>Katie Hobbs (Governor)</v>
    <v>05adb62e-e735-4e07-b8db-01b500d8f313</v>
    <v>en-US</v>
    <v>Generic</v>
  </rv>
  <rv s="0">
    <v>805306368</v>
    <v>Adrian Fontes (Secretary of state)</v>
    <v>0c546f0f-c55b-c9c4-74cd-81b6c0d421d9</v>
    <v>en-US</v>
    <v>Generic</v>
  </rv>
  <rv s="0">
    <v>805306368</v>
    <v>Mark Kelly (Senate)</v>
    <v>7378c94d-66d6-3a6c-42fd-639c9bfc1491</v>
    <v>en-US</v>
    <v>Generic</v>
  </rv>
  <rv s="0">
    <v>805306368</v>
    <v>Ruben Gallego (Senate)</v>
    <v>9072078c-6591-4962-bbfd-eeadf6fa0184</v>
    <v>en-US</v>
    <v>Generic</v>
  </rv>
  <rv s="3">
    <v>3</v>
  </rv>
  <rv s="4">
    <v>https://www.bing.com/search?q=arizona&amp;form=skydnc</v>
    <v>Learn more on Bing</v>
  </rv>
  <rv s="1">
    <fb>913</fb>
    <v>12</v>
  </rv>
  <rv s="1">
    <fb>50255</fb>
    <v>12</v>
  </rv>
  <rv s="1">
    <fb>167500</fb>
    <v>12</v>
  </rv>
  <rv s="1">
    <fb>2.69</fb>
    <v>13</v>
  </rv>
  <rv s="1">
    <fb>7582384</fb>
    <v>11</v>
  </rv>
  <rv s="1">
    <fb>8.4000000000000005E-2</fb>
    <v>14</v>
  </rv>
  <rv s="1">
    <fb>0.16399999999999998</fb>
    <v>14</v>
  </rv>
  <rv s="1">
    <fb>5.2999999999999999E-2</fb>
    <v>15</v>
  </rv>
  <rv s="1">
    <fb>3.4000000000000002E-2</fb>
    <v>14</v>
  </rv>
  <rv s="1">
    <fb>0.27500000000000002</fb>
    <v>14</v>
  </rv>
  <rv s="1">
    <fb>4.8000000000000001E-2</fb>
    <v>14</v>
  </rv>
  <rv s="1">
    <fb>0.13500000000000001</fb>
    <v>14</v>
  </rv>
  <rv s="1">
    <fb>0.86</fb>
    <v>14</v>
  </rv>
  <rv s="1">
    <fb>0.307</fb>
    <v>14</v>
  </rv>
  <rv s="1">
    <fb>0.59299999999999997</fb>
    <v>14</v>
  </rv>
  <rv s="1">
    <fb>3.0000000000000001E-3</fb>
    <v>14</v>
  </rv>
  <rv s="1">
    <fb>8.199999999999999E-2</fb>
    <v>14</v>
  </rv>
  <rv s="1">
    <fb>2.7000000000000003E-2</fb>
    <v>14</v>
  </rv>
  <rv s="1">
    <fb>0.23800000000000002</fb>
    <v>14</v>
  </rv>
  <rv s="1">
    <fb>6.3E-2</fb>
    <v>14</v>
  </rv>
  <rv s="1">
    <fb>0.83499999999999996</fb>
    <v>14</v>
  </rv>
  <rv s="3">
    <v>4</v>
  </rv>
  <rv s="5">
    <v>#VALUE!</v>
    <v>en-US</v>
    <v>bf973f46-5962-4997-a7ba-a05f1aa2a9f9</v>
    <v>536870912</v>
    <v>1</v>
    <v>19</v>
    <v>5</v>
    <v>Arizona</v>
    <v>7</v>
    <v>8</v>
    <v>Map</v>
    <v>9</v>
    <v>10</v>
    <v>US-AZ</v>
    <v>40</v>
    <v>41</v>
    <v>42</v>
    <v>4</v>
    <v>Arizona is a state in the Southwestern region of the United States, sharing the Four Corners region of the western United States with Colorado, New Mexico, and Utah. It also borders Nevada to the northwest and California to the west, and shares ...</v>
    <v>43</v>
    <v>44</v>
    <v>45</v>
    <v>42</v>
    <v>50</v>
    <v>51</v>
    <v>52</v>
    <v>53</v>
    <v>54</v>
    <v>Arizona</v>
    <v>18</v>
    <v>55</v>
    <v>56</v>
    <v>57</v>
    <v>58</v>
    <v>59</v>
    <v>60</v>
    <v>61</v>
    <v>62</v>
    <v>63</v>
    <v>64</v>
    <v>65</v>
    <v>66</v>
    <v>67</v>
    <v>68</v>
    <v>69</v>
    <v>70</v>
    <v>71</v>
    <v>72</v>
    <v>73</v>
    <v>Arizona</v>
    <v>mdp/vdpid/1945</v>
  </rv>
  <rv s="0">
    <v>536870912</v>
    <v>Arkansas</v>
    <v>b939db72-08f2-4ea6-a16a-a53bf32e6612</v>
    <v>en-US</v>
    <v>Map</v>
  </rv>
  <rv s="1">
    <fb>137733</fb>
    <v>11</v>
  </rv>
  <rv s="1">
    <fb>9474</fb>
    <v>11</v>
  </rv>
  <rv s="0">
    <v>536870912</v>
    <v>Little Rock, Arkansas</v>
    <v>2039fcee-c7a5-4241-930b-d2c6d17bae74</v>
    <v>en-US</v>
    <v>Map</v>
  </rv>
  <rv s="1">
    <fb>1138025</fb>
    <v>11</v>
  </rv>
  <rv s="1">
    <fb>1354762</fb>
    <v>11</v>
  </rv>
  <rv s="2">
    <v>2</v>
    <v>9</v>
    <v>20</v>
    <v>7</v>
    <v>0</v>
    <v>Image of Arkansas</v>
  </rv>
  <rv s="0">
    <v>805306368</v>
    <v>Sarah Huckabee Sanders (Governor)</v>
    <v>794a8222-ef7c-184f-be8d-1e95d28290a2</v>
    <v>en-US</v>
    <v>Generic</v>
  </rv>
  <rv s="0">
    <v>805306368</v>
    <v>Leslie Rutledge (Lieutenant governor)</v>
    <v>1df1c81e-109f-d6a6-5a0a-52a5e8e4ee06</v>
    <v>en-US</v>
    <v>Generic</v>
  </rv>
  <rv s="0">
    <v>805306368</v>
    <v>John Boozman (Senate)</v>
    <v>c68cff47-f645-0a65-99db-e7b69235c7dd</v>
    <v>en-US</v>
    <v>Generic</v>
  </rv>
  <rv s="0">
    <v>805306368</v>
    <v>Tom Cotton (Senate)</v>
    <v>b5cb098f-a265-a017-5a94-8fefa33bdbf8</v>
    <v>en-US</v>
    <v>Generic</v>
  </rv>
  <rv s="3">
    <v>5</v>
  </rv>
  <rv s="4">
    <v>https://www.bing.com/search?q=arkansas&amp;form=skydnc</v>
    <v>Learn more on Bing</v>
  </rv>
  <rv s="1">
    <fb>677</fb>
    <v>12</v>
  </rv>
  <rv s="1">
    <fb>41371</fb>
    <v>12</v>
  </rv>
  <rv s="1">
    <fb>111400</fb>
    <v>12</v>
  </rv>
  <rv s="3">
    <v>6</v>
  </rv>
  <rv s="1">
    <fb>2.5299999999999998</fb>
    <v>13</v>
  </rv>
  <rv s="1">
    <fb>3088354</fb>
    <v>11</v>
  </rv>
  <rv s="1">
    <fb>2.5000000000000001E-2</fb>
    <v>14</v>
  </rv>
  <rv s="1">
    <fb>0.16</fb>
    <v>14</v>
  </rv>
  <rv s="1">
    <fb>0.01</fb>
    <v>15</v>
  </rv>
  <rv s="1">
    <fb>0.21100000000000002</fb>
    <v>14</v>
  </rv>
  <rv s="1">
    <fb>4.7E-2</fb>
    <v>14</v>
  </rv>
  <rv s="1">
    <fb>0.84799999999999998</fb>
    <v>14</v>
  </rv>
  <rv s="1">
    <fb>7.2000000000000008E-2</fb>
    <v>14</v>
  </rv>
  <rv s="1">
    <fb>0.58499999999999996</fb>
    <v>14</v>
  </rv>
  <rv s="1">
    <fb>0.12300000000000001</fb>
    <v>14</v>
  </rv>
  <rv s="1">
    <fb>0.02</fb>
    <v>14</v>
  </rv>
  <rv s="1">
    <fb>0.23699999999999999</fb>
    <v>14</v>
  </rv>
  <rv s="1">
    <fb>6.4000000000000001E-2</fb>
    <v>14</v>
  </rv>
  <rv s="1">
    <fb>0.79500000000000004</fb>
    <v>14</v>
  </rv>
  <rv s="5">
    <v>#VALUE!</v>
    <v>en-US</v>
    <v>b939db72-08f2-4ea6-a16a-a53bf32e6612</v>
    <v>536870912</v>
    <v>1</v>
    <v>23</v>
    <v>5</v>
    <v>Arkansas</v>
    <v>7</v>
    <v>8</v>
    <v>Map</v>
    <v>9</v>
    <v>10</v>
    <v>US-AR</v>
    <v>76</v>
    <v>77</v>
    <v>78</v>
    <v>4</v>
    <v>Arkansas is a landlocked state in the West South Central region of the Southern United States. It borders Missouri to the north, Tennessee and Mississippi to the east, Louisiana to the south, Texas to the southwest, and Oklahoma to the west. Its ...</v>
    <v>79</v>
    <v>80</v>
    <v>81</v>
    <v>78</v>
    <v>86</v>
    <v>87</v>
    <v>88</v>
    <v>89</v>
    <v>90</v>
    <v>Arkansas</v>
    <v>91</v>
    <v>92</v>
    <v>93</v>
    <v>94</v>
    <v>95</v>
    <v>96</v>
    <v>33</v>
    <v>97</v>
    <v>22</v>
    <v>98</v>
    <v>99</v>
    <v>100</v>
    <v>101</v>
    <v>67</v>
    <v>102</v>
    <v>103</v>
    <v>104</v>
    <v>105</v>
    <v>106</v>
    <v>37</v>
    <v>Arkansas</v>
    <v>mdp/vdpid/1951</v>
  </rv>
  <rv s="0">
    <v>536870912</v>
    <v>California</v>
    <v>3009d91d-d582-4c34-85ba-772ba09e5be1</v>
    <v>en-US</v>
    <v>Map</v>
  </rv>
  <rv s="1">
    <fb>423970</fb>
    <v>11</v>
  </rv>
  <rv s="1">
    <fb>102350</fb>
    <v>11</v>
  </rv>
  <rv s="0">
    <v>536870912</v>
    <v>Sacramento, California</v>
    <v>4a1a8070-cc3d-4060-af9c-08ccbbca73d7</v>
    <v>en-US</v>
    <v>Map</v>
  </rv>
  <rv s="1">
    <fb>12717801</fb>
    <v>11</v>
  </rv>
  <rv s="1">
    <fb>14060525</fb>
    <v>11</v>
  </rv>
  <rv s="2">
    <v>3</v>
    <v>9</v>
    <v>24</v>
    <v>7</v>
    <v>0</v>
    <v>Image of California</v>
  </rv>
  <rv s="0">
    <v>536870912</v>
    <v>Los Angeles</v>
    <v>9958ca5c-ea31-4e71-8a17-bd1e7839c723</v>
    <v>en-US</v>
    <v>Map</v>
  </rv>
  <rv s="0">
    <v>805306368</v>
    <v>Gavin Newsom (Governor)</v>
    <v>ddd0ecbf-d7a9-4913-80c4-8eca3d95b4f2</v>
    <v>en-US</v>
    <v>Generic</v>
  </rv>
  <rv s="0">
    <v>805306368</v>
    <v>Eleni Kounalakis (Lieutenant governor)</v>
    <v>c8b4c34f-e58f-d4cc-2651-1b432d67c11a</v>
    <v>en-US</v>
    <v>Generic</v>
  </rv>
  <rv s="0">
    <v>805306368</v>
    <v>Alex Padilla (Senate)</v>
    <v>7f531c9a-64f3-c8e6-afb0-26647030a74e</v>
    <v>en-US</v>
    <v>Generic</v>
  </rv>
  <rv s="0">
    <v>805306368</v>
    <v>Adam Schiff (Senate)</v>
    <v>d5c1a692-eb25-8c7a-976b-c75a43f36513</v>
    <v>en-US</v>
    <v>Generic</v>
  </rv>
  <rv s="3">
    <v>7</v>
  </rv>
  <rv s="4">
    <v>https://www.bing.com/search?q=california&amp;form=skydnc</v>
    <v>Learn more on Bing</v>
  </rv>
  <rv s="1">
    <fb>1255</fb>
    <v>12</v>
  </rv>
  <rv s="1">
    <fb>61818</fb>
    <v>12</v>
  </rv>
  <rv s="1">
    <fb>385500</fb>
    <v>12</v>
  </rv>
  <rv s="1">
    <fb>2.96</fb>
    <v>13</v>
  </rv>
  <rv s="1">
    <fb>39431263</fb>
    <v>11</v>
  </rv>
  <rv s="1">
    <fb>5.4000000000000006E-2</fb>
    <v>14</v>
  </rv>
  <rv s="1">
    <fb>0.13300000000000001</fb>
    <v>14</v>
  </rv>
  <rv s="1">
    <fb>1.7000000000000001E-2</fb>
    <v>15</v>
  </rv>
  <rv s="1">
    <fb>0.14699999999999999</fb>
    <v>14</v>
  </rv>
  <rv s="1">
    <fb>0.314</fb>
    <v>14</v>
  </rv>
  <rv s="1">
    <fb>6.5000000000000002E-2</fb>
    <v>14</v>
  </rv>
  <rv s="1">
    <fb>0.27</fb>
    <v>14</v>
  </rv>
  <rv s="1">
    <fb>0.81799999999999995</fb>
    <v>14</v>
  </rv>
  <rv s="1">
    <fb>0.38799999999999996</fb>
    <v>14</v>
  </rv>
  <rv s="1">
    <fb>0.63100000000000001</fb>
    <v>14</v>
  </rv>
  <rv s="1">
    <fb>5.0000000000000001E-3</fb>
    <v>14</v>
  </rv>
  <rv s="1">
    <fb>6.8000000000000005E-2</fb>
    <v>14</v>
  </rv>
  <rv s="1">
    <fb>3.7999999999999999E-2</fb>
    <v>14</v>
  </rv>
  <rv s="1">
    <fb>0.23300000000000001</fb>
    <v>14</v>
  </rv>
  <rv s="1">
    <fb>0.72900000000000009</fb>
    <v>14</v>
  </rv>
  <rv s="3">
    <v>8</v>
  </rv>
  <rv s="5">
    <v>#VALUE!</v>
    <v>en-US</v>
    <v>3009d91d-d582-4c34-85ba-772ba09e5be1</v>
    <v>536870912</v>
    <v>1</v>
    <v>27</v>
    <v>5</v>
    <v>California</v>
    <v>7</v>
    <v>8</v>
    <v>Map</v>
    <v>9</v>
    <v>10</v>
    <v>US-CA</v>
    <v>109</v>
    <v>110</v>
    <v>111</v>
    <v>4</v>
    <v>California is a state in the Western region of the United States that lies on the Pacific Coast. It borders Oregon to the north, Nevada and Arizona to the east, and shares an international border with the Mexican state of Baja California to the ...</v>
    <v>112</v>
    <v>113</v>
    <v>114</v>
    <v>115</v>
    <v>120</v>
    <v>121</v>
    <v>122</v>
    <v>123</v>
    <v>124</v>
    <v>California</v>
    <v>18</v>
    <v>125</v>
    <v>126</v>
    <v>127</v>
    <v>128</v>
    <v>129</v>
    <v>130</v>
    <v>131</v>
    <v>132</v>
    <v>133</v>
    <v>134</v>
    <v>135</v>
    <v>136</v>
    <v>137</v>
    <v>138</v>
    <v>139</v>
    <v>140</v>
    <v>105</v>
    <v>141</v>
    <v>142</v>
    <v>California</v>
    <v>mdp/vdpid/5599</v>
  </rv>
  <rv s="0">
    <v>536870912</v>
    <v>Colorado</v>
    <v>a070c5c2-b22d-41d8-b869-f20e583c4f80</v>
    <v>en-US</v>
    <v>Map</v>
  </rv>
  <rv s="1">
    <fb>269837</fb>
    <v>11</v>
  </rv>
  <rv s="1">
    <fb>38974</fb>
    <v>11</v>
  </rv>
  <rv s="0">
    <v>536870912</v>
    <v>Denver</v>
    <v>5a7229b6-72d3-4bfc-a95e-9c35e297c9ff</v>
    <v>en-US</v>
    <v>Map</v>
  </rv>
  <rv s="1">
    <fb>2024468</fb>
    <v>11</v>
  </rv>
  <rv s="1">
    <fb>2339118</fb>
    <v>11</v>
  </rv>
  <rv s="2">
    <v>4</v>
    <v>9</v>
    <v>28</v>
    <v>7</v>
    <v>0</v>
    <v>Image of Colorado</v>
  </rv>
  <rv s="0">
    <v>805306368</v>
    <v>Jared Polis (Governor)</v>
    <v>5a81ae6e-56e8-4cd2-95d3-f7a1b60eaa75</v>
    <v>en-US</v>
    <v>Generic</v>
  </rv>
  <rv s="0">
    <v>805306368</v>
    <v>Dianne Primavera (Lieutenant governor)</v>
    <v>f4e53c30-335f-00af-307f-4f95e90798de</v>
    <v>en-US</v>
    <v>Generic</v>
  </rv>
  <rv s="0">
    <v>805306368</v>
    <v>Michael Bennet (Senate)</v>
    <v>93548716-afc5-5fee-8c7d-c4b9489b4d26</v>
    <v>en-US</v>
    <v>Generic</v>
  </rv>
  <rv s="0">
    <v>805306368</v>
    <v>John Hickenlooper (Senate)</v>
    <v>a8a5bd30-12ce-eafc-0b7b-cc41fa0d798d</v>
    <v>en-US</v>
    <v>Generic</v>
  </rv>
  <rv s="3">
    <v>9</v>
  </rv>
  <rv s="4">
    <v>https://www.bing.com/search?q=colorado&amp;form=skydnc</v>
    <v>Learn more on Bing</v>
  </rv>
  <rv s="1">
    <fb>1002</fb>
    <v>12</v>
  </rv>
  <rv s="1">
    <fb>60629</fb>
    <v>12</v>
  </rv>
  <rv s="1">
    <fb>247800</fb>
    <v>12</v>
  </rv>
  <rv s="1">
    <fb>5957493</fb>
    <v>11</v>
  </rv>
  <rv s="1">
    <fb>0.10199999999999999</fb>
    <v>14</v>
  </rv>
  <rv s="1">
    <fb>0.13</fb>
    <v>14</v>
  </rv>
  <rv s="1">
    <fb>1.6E-2</fb>
    <v>15</v>
  </rv>
  <rv s="1">
    <fb>3.2000000000000001E-2</fb>
    <v>14</v>
  </rv>
  <rv s="1">
    <fb>0.38100000000000001</fb>
    <v>14</v>
  </rv>
  <rv s="1">
    <fb>4.4999999999999998E-2</fb>
    <v>14</v>
  </rv>
  <rv s="1">
    <fb>9.8000000000000004E-2</fb>
    <v>14</v>
  </rv>
  <rv s="1">
    <fb>0.90700000000000003</fb>
    <v>14</v>
  </rv>
  <rv s="1">
    <fb>0.21299999999999999</fb>
    <v>14</v>
  </rv>
  <rv s="1">
    <fb>0.67599999999999993</fb>
    <v>14</v>
  </rv>
  <rv s="1">
    <fb>2E-3</fb>
    <v>14</v>
  </rv>
  <rv s="1">
    <fb>2.8999999999999998E-2</fb>
    <v>14</v>
  </rv>
  <rv s="1">
    <fb>0.23</fb>
    <v>14</v>
  </rv>
  <rv s="1">
    <fb>6.2E-2</fb>
    <v>14</v>
  </rv>
  <rv s="1">
    <fb>0.875</fb>
    <v>14</v>
  </rv>
  <rv s="3">
    <v>10</v>
  </rv>
  <rv s="5">
    <v>#VALUE!</v>
    <v>en-US</v>
    <v>a070c5c2-b22d-41d8-b869-f20e583c4f80</v>
    <v>536870912</v>
    <v>1</v>
    <v>31</v>
    <v>5</v>
    <v>Colorado</v>
    <v>7</v>
    <v>8</v>
    <v>Map</v>
    <v>9</v>
    <v>10</v>
    <v>US-CO</v>
    <v>145</v>
    <v>146</v>
    <v>147</v>
    <v>4</v>
    <v>Colorado is a state in the Western United States. It is one of the Mountain states, sharing the Four Corners region with Arizona, New Mexico, and Utah. It is also bordered by Wyoming to the north, Nebraska to the northeast, Kansas to the east, ...</v>
    <v>148</v>
    <v>149</v>
    <v>150</v>
    <v>147</v>
    <v>155</v>
    <v>156</v>
    <v>157</v>
    <v>158</v>
    <v>159</v>
    <v>Colorado</v>
    <v>18</v>
    <v>19</v>
    <v>160</v>
    <v>161</v>
    <v>162</v>
    <v>163</v>
    <v>164</v>
    <v>165</v>
    <v>166</v>
    <v>167</v>
    <v>168</v>
    <v>169</v>
    <v>170</v>
    <v>171</v>
    <v>100</v>
    <v>172</v>
    <v>173</v>
    <v>174</v>
    <v>175</v>
    <v>176</v>
    <v>Colorado</v>
    <v>mdp/vdpid/7636</v>
  </rv>
  <rv s="0">
    <v>536870912</v>
    <v>Connecticut</v>
    <v>b3ca6523-435e-4a3b-8f78-1ad900a52cf8</v>
    <v>en-US</v>
    <v>Map</v>
  </rv>
  <rv s="1">
    <fb>14357</fb>
    <v>11</v>
  </rv>
  <rv s="1">
    <fb>5504</fb>
    <v>11</v>
  </rv>
  <rv s="0">
    <v>536870912</v>
    <v>Hartford, Connecticut</v>
    <v>b8b8ebf2-e2da-483f-8643-880dd55aad13</v>
    <v>en-US</v>
    <v>Map</v>
  </rv>
  <rv s="1">
    <fb>1352583</fb>
    <v>11</v>
  </rv>
  <rv s="1">
    <fb>1499116</fb>
    <v>11</v>
  </rv>
  <rv s="2">
    <v>5</v>
    <v>9</v>
    <v>32</v>
    <v>7</v>
    <v>0</v>
    <v>Image of Connecticut</v>
  </rv>
  <rv s="0">
    <v>536870912</v>
    <v>Bridgeport, Connecticut</v>
    <v>a8869591-489d-40ba-b80b-b6d1e6c19391</v>
    <v>en-US</v>
    <v>Map</v>
  </rv>
  <rv s="0">
    <v>805306368</v>
    <v>Ned Lamont (Governor)</v>
    <v>3685f682-77d1-4823-3b8f-bcb46698ef70</v>
    <v>en-US</v>
    <v>Generic</v>
  </rv>
  <rv s="0">
    <v>805306368</v>
    <v>Susan Bysiewicz (Lieutenant governor)</v>
    <v>e8219547-8f75-e4f3-3f07-7b5df6eb7c4c</v>
    <v>en-US</v>
    <v>Generic</v>
  </rv>
  <rv s="0">
    <v>805306368</v>
    <v>Richard Blumenthal (Senate)</v>
    <v>4e6038a9-b7ca-bb9c-0d4b-a75013d4185b</v>
    <v>en-US</v>
    <v>Generic</v>
  </rv>
  <rv s="0">
    <v>805306368</v>
    <v>Chris Murphy (Senate)</v>
    <v>693665e4-3df7-8219-3f37-3d54910459d6</v>
    <v>en-US</v>
    <v>Generic</v>
  </rv>
  <rv s="3">
    <v>11</v>
  </rv>
  <rv s="4">
    <v>https://www.bing.com/search?q=connecticut&amp;form=skydnc</v>
    <v>Learn more on Bing</v>
  </rv>
  <rv s="1">
    <fb>1075</fb>
    <v>12</v>
  </rv>
  <rv s="1">
    <fb>70331</fb>
    <v>12</v>
  </rv>
  <rv s="1">
    <fb>270500</fb>
    <v>12</v>
  </rv>
  <rv s="1">
    <fb>2.57</fb>
    <v>13</v>
  </rv>
  <rv s="1">
    <fb>3675069</fb>
    <v>11</v>
  </rv>
  <rv s="1">
    <fb>0.158</fb>
    <v>14</v>
  </rv>
  <rv s="1">
    <fb>5.0000000000000001E-3</fb>
    <v>15</v>
  </rv>
  <rv s="1">
    <fb>4.5999999999999999E-2</fb>
    <v>14</v>
  </rv>
  <rv s="1">
    <fb>0.376</fb>
    <v>14</v>
  </rv>
  <rv s="1">
    <fb>0.11599999999999999</fb>
    <v>14</v>
  </rv>
  <rv s="1">
    <fb>0.13900000000000001</fb>
    <v>14</v>
  </rv>
  <rv s="1">
    <fb>0.89900000000000002</fb>
    <v>14</v>
  </rv>
  <rv s="1">
    <fb>0.154</fb>
    <v>14</v>
  </rv>
  <rv s="1">
    <fb>0.67200000000000004</fb>
    <v>14</v>
  </rv>
  <rv s="1">
    <fb>7.0999999999999994E-2</fb>
    <v>14</v>
  </rv>
  <rv s="1">
    <fb>2.2000000000000002E-2</fb>
    <v>14</v>
  </rv>
  <rv s="1">
    <fb>5.2000000000000005E-2</fb>
    <v>14</v>
  </rv>
  <rv s="1">
    <fb>0.80799999999999994</fb>
    <v>14</v>
  </rv>
  <rv s="3">
    <v>12</v>
  </rv>
  <rv s="6">
    <v>#VALUE!</v>
    <v>en-US</v>
    <v>b3ca6523-435e-4a3b-8f78-1ad900a52cf8</v>
    <v>536870912</v>
    <v>1</v>
    <v>35</v>
    <v>36</v>
    <v>Connecticut</v>
    <v>7</v>
    <v>8</v>
    <v>Map</v>
    <v>9</v>
    <v>10</v>
    <v>US-CT</v>
    <v>179</v>
    <v>180</v>
    <v>181</v>
    <v>4</v>
    <v>Connecticut is a state in the New England region of the Northeastern United States. It borders Rhode Island to the east, Massachusetts to the north, New York to the west, and Long Island Sound to the south. Its capital is Hartford, and its most ...</v>
    <v>182</v>
    <v>183</v>
    <v>184</v>
    <v>185</v>
    <v>190</v>
    <v>191</v>
    <v>192</v>
    <v>193</v>
    <v>194</v>
    <v>Connecticut</v>
    <v>195</v>
    <v>196</v>
    <v>31</v>
    <v>197</v>
    <v>198</v>
    <v>199</v>
    <v>200</v>
    <v>201</v>
    <v>202</v>
    <v>203</v>
    <v>204</v>
    <v>205</v>
    <v>31</v>
    <v>206</v>
    <v>207</v>
    <v>169</v>
    <v>208</v>
    <v>209</v>
    <v>210</v>
    <v>Connecticut</v>
    <v>mdp/vdpid/7798</v>
  </rv>
  <rv s="0">
    <v>536870912</v>
    <v>Delaware</v>
    <v>8ad617cc-3d7a-4b3c-a787-098de959ccc4</v>
    <v>en-US</v>
    <v>Map</v>
  </rv>
  <rv s="1">
    <fb>6452</fb>
    <v>11</v>
  </rv>
  <rv s="1">
    <fb>5804</fb>
    <v>11</v>
  </rv>
  <rv s="0">
    <v>536870912</v>
    <v>Dover, Delaware</v>
    <v>e2074a3a-aa84-0f74-453a-3167a0a32abc</v>
    <v>en-US</v>
    <v>Map</v>
  </rv>
  <rv s="1">
    <fb>344022</fb>
    <v>11</v>
  </rv>
  <rv s="1">
    <fb>426149</fb>
    <v>11</v>
  </rv>
  <rv s="2">
    <v>6</v>
    <v>9</v>
    <v>37</v>
    <v>7</v>
    <v>0</v>
    <v>Image of Delaware</v>
  </rv>
  <rv s="0">
    <v>536870912</v>
    <v>Wilmington, Delaware</v>
    <v>77a8f223-fe51-4aa2-8e3d-6c81e5bc270e</v>
    <v>en-US</v>
    <v>Map</v>
  </rv>
  <rv s="0">
    <v>805306368</v>
    <v>Matt Meyer (Governor)</v>
    <v>1e21a522-9406-d511-4ac3-399978ddc1a9</v>
    <v>en-US</v>
    <v>Generic</v>
  </rv>
  <rv s="0">
    <v>805306368</v>
    <v>Kyle Evans Gay (Lieutenant governor)</v>
    <v>d6cdd82b-f578-2c5b-0c7a-f6d548e94ab2</v>
    <v>en-US</v>
    <v>Generic</v>
  </rv>
  <rv s="0">
    <v>805306368</v>
    <v>Chris Coons (Senate)</v>
    <v>8249148d-abe6-9dcf-9cd0-7df672b27a3a</v>
    <v>en-US</v>
    <v>Generic</v>
  </rv>
  <rv s="0">
    <v>805306368</v>
    <v>Lisa Blunt Rochester (Senate)</v>
    <v>bc96dce8-e138-c585-78be-05dc81589061</v>
    <v>en-US</v>
    <v>Generic</v>
  </rv>
  <rv s="3">
    <v>13</v>
  </rv>
  <rv s="4">
    <v>https://www.bing.com/search?q=delaware&amp;form=skydnc</v>
    <v>Learn more on Bing</v>
  </rv>
  <rv s="1">
    <fb>1018</fb>
    <v>12</v>
  </rv>
  <rv s="1">
    <fb>60509</fb>
    <v>12</v>
  </rv>
  <rv s="1">
    <fb>231500</fb>
    <v>12</v>
  </rv>
  <rv s="1">
    <fb>2.62</fb>
    <v>13</v>
  </rv>
  <rv s="1">
    <fb>1051917</fb>
    <v>11</v>
  </rv>
  <rv s="1">
    <fb>0.17</fb>
    <v>14</v>
  </rv>
  <rv s="1">
    <fb>3.9E-2</fb>
    <v>14</v>
  </rv>
  <rv s="1">
    <fb>0.3</fb>
    <v>14</v>
  </rv>
  <rv s="1">
    <fb>0.22399999999999998</fb>
    <v>14</v>
  </rv>
  <rv s="1">
    <fb>8.6999999999999994E-2</fb>
    <v>14</v>
  </rv>
  <rv s="1">
    <fb>0.88400000000000001</fb>
    <v>14</v>
  </rv>
  <rv s="1">
    <fb>0.09</fb>
    <v>14</v>
  </rv>
  <rv s="1">
    <fb>8.5000000000000006E-2</fb>
    <v>14</v>
  </rv>
  <rv s="1">
    <fb>0.21600000000000003</fb>
    <v>14</v>
  </rv>
  <rv s="1">
    <fb>5.9000000000000004E-2</fb>
    <v>14</v>
  </rv>
  <rv s="1">
    <fb>0.70400000000000007</fb>
    <v>14</v>
  </rv>
  <rv s="6">
    <v>#VALUE!</v>
    <v>en-US</v>
    <v>8ad617cc-3d7a-4b3c-a787-098de959ccc4</v>
    <v>536870912</v>
    <v>1</v>
    <v>40</v>
    <v>36</v>
    <v>Delaware</v>
    <v>7</v>
    <v>8</v>
    <v>Map</v>
    <v>9</v>
    <v>10</v>
    <v>US-DE</v>
    <v>213</v>
    <v>214</v>
    <v>215</v>
    <v>4</v>
    <v>Delaware is a state in the Mid-Atlantic and South Atlantic regions of the United States. It borders Maryland to its south and west, Pennsylvania to its north, New Jersey to its northeast, and the Atlantic Ocean to its east. The state's name ...</v>
    <v>216</v>
    <v>217</v>
    <v>218</v>
    <v>219</v>
    <v>224</v>
    <v>225</v>
    <v>226</v>
    <v>227</v>
    <v>228</v>
    <v>Delaware</v>
    <v>229</v>
    <v>230</v>
    <v>35</v>
    <v>231</v>
    <v>23</v>
    <v>232</v>
    <v>233</v>
    <v>234</v>
    <v>235</v>
    <v>236</v>
    <v>237</v>
    <v>136</v>
    <v>31</v>
    <v>238</v>
    <v>94</v>
    <v>239</v>
    <v>240</v>
    <v>241</v>
    <v>210</v>
    <v>Delaware</v>
    <v>mdp/vdpid/8831</v>
  </rv>
  <rv s="0">
    <v>536870912</v>
    <v>Florida</v>
    <v>5fece3f4-e8e8-4159-843e-f725a930ad50</v>
    <v>en-US</v>
    <v>Map</v>
  </rv>
  <rv s="1">
    <fb>170304</fb>
    <v>11</v>
  </rv>
  <rv s="1">
    <fb>116240</fb>
    <v>11</v>
  </rv>
  <rv s="0">
    <v>536870912</v>
    <v>Tallahassee, Florida</v>
    <v>fe8036d9-2764-4483-9405-f07a59b69915</v>
    <v>en-US</v>
    <v>Map</v>
  </rv>
  <rv s="1">
    <fb>7300494</fb>
    <v>11</v>
  </rv>
  <rv s="1">
    <fb>9301642</fb>
    <v>11</v>
  </rv>
  <rv s="2">
    <v>7</v>
    <v>9</v>
    <v>41</v>
    <v>7</v>
    <v>0</v>
    <v>Image of Florida</v>
  </rv>
  <rv s="0">
    <v>536870912</v>
    <v>Jacksonville, Florida</v>
    <v>8bd6021b-ea7f-4470-a29b-042b1c82e07f</v>
    <v>en-US</v>
    <v>Map</v>
  </rv>
  <rv s="0">
    <v>805306368</v>
    <v>Ron DeSantis (Governor)</v>
    <v>1ed346c3-9ad7-8e78-ae55-5ed54b15749a</v>
    <v>en-US</v>
    <v>Generic</v>
  </rv>
  <rv s="0">
    <v>805306368</v>
    <v>Rick Scott (Senate)</v>
    <v>7a306d31-0926-baab-a271-b42913720a93</v>
    <v>en-US</v>
    <v>Generic</v>
  </rv>
  <rv s="0">
    <v>805306368</v>
    <v>Ashley Moody (Senate)</v>
    <v>65cb4204-9d4c-cb8d-a4f0-22efc12fd008</v>
    <v>en-US</v>
    <v>Generic</v>
  </rv>
  <rv s="3">
    <v>14</v>
  </rv>
  <rv s="4">
    <v>https://www.bing.com/search?q=florida&amp;form=skydnc</v>
    <v>Learn more on Bing</v>
  </rv>
  <rv s="1">
    <fb>47507</fb>
    <v>12</v>
  </rv>
  <rv s="1">
    <fb>159000</fb>
    <v>12</v>
  </rv>
  <rv s="1">
    <fb>2.63</fb>
    <v>13</v>
  </rv>
  <rv s="1">
    <fb>23372215</fb>
    <v>11</v>
  </rv>
  <rv s="1">
    <fb>9.6000000000000002E-2</fb>
    <v>14</v>
  </rv>
  <rv s="1">
    <fb>0.19399999999999998</fb>
    <v>14</v>
  </rv>
  <rv s="1">
    <fb>2.7999999999999997E-2</fb>
    <v>14</v>
  </rv>
  <rv s="1">
    <fb>0.27300000000000002</fb>
    <v>14</v>
  </rv>
  <rv s="1">
    <fb>0.16800000000000001</fb>
    <v>14</v>
  </rv>
  <rv s="1">
    <fb>0.19699999999999998</fb>
    <v>14</v>
  </rv>
  <rv s="1">
    <fb>0.86900000000000011</fb>
    <v>14</v>
  </rv>
  <rv s="1">
    <fb>0.245</fb>
    <v>14</v>
  </rv>
  <rv s="1">
    <fb>0.58799999999999997</fb>
    <v>14</v>
  </rv>
  <rv s="1">
    <fb>0.20300000000000001</fb>
    <v>14</v>
  </rv>
  <rv s="1">
    <fb>0.77700000000000002</fb>
    <v>14</v>
  </rv>
  <rv s="3">
    <v>15</v>
  </rv>
  <rv s="5">
    <v>#VALUE!</v>
    <v>en-US</v>
    <v>5fece3f4-e8e8-4159-843e-f725a930ad50</v>
    <v>536870912</v>
    <v>1</v>
    <v>44</v>
    <v>5</v>
    <v>Florida</v>
    <v>7</v>
    <v>8</v>
    <v>Map</v>
    <v>9</v>
    <v>10</v>
    <v>US-FL</v>
    <v>244</v>
    <v>245</v>
    <v>246</v>
    <v>4</v>
    <v>Florida is a state in the Southeastern region of the United States. It borders the Gulf of Mexico to the west, Alabama to the northwest, Georgia to the north, the Atlantic Ocean to the east, and the Straits of Florida and Cuba to the south. ...</v>
    <v>247</v>
    <v>248</v>
    <v>249</v>
    <v>250</v>
    <v>254</v>
    <v>255</v>
    <v>157</v>
    <v>256</v>
    <v>257</v>
    <v>Florida</v>
    <v>18</v>
    <v>258</v>
    <v>259</v>
    <v>260</v>
    <v>261</v>
    <v>198</v>
    <v>262</v>
    <v>263</v>
    <v>264</v>
    <v>265</v>
    <v>266</v>
    <v>267</v>
    <v>268</v>
    <v>31</v>
    <v>238</v>
    <v>103</v>
    <v>269</v>
    <v>127</v>
    <v>270</v>
    <v>271</v>
    <v>Florida</v>
    <v>mdp/vdpid/11032</v>
  </rv>
  <rv s="0">
    <v>536870912</v>
    <v>Georgia</v>
    <v>84604bc7-2c47-4f8d-8ea5-b6ac8c018a20</v>
    <v>en-US</v>
    <v>Map</v>
  </rv>
  <rv s="1">
    <fb>153909</fb>
    <v>11</v>
  </rv>
  <rv s="1">
    <fb>51675</fb>
    <v>11</v>
  </rv>
  <rv s="0">
    <v>536870912</v>
    <v>Atlanta</v>
    <v>1a92f3fa-61f9-4e89-b606-40c945cf18d1</v>
    <v>en-US</v>
    <v>Map</v>
  </rv>
  <rv s="1">
    <fb>3574362</fb>
    <v>11</v>
  </rv>
  <rv s="1">
    <fb>4218776</fb>
    <v>11</v>
  </rv>
  <rv s="2">
    <v>8</v>
    <v>9</v>
    <v>45</v>
    <v>7</v>
    <v>0</v>
    <v>Image of Georgia</v>
  </rv>
  <rv s="0">
    <v>805306368</v>
    <v>Brian Kemp (Governor)</v>
    <v>6dd4f848-98dc-60f8-90b2-87c7458743fa</v>
    <v>en-US</v>
    <v>Generic</v>
  </rv>
  <rv s="0">
    <v>805306368</v>
    <v>Burt Jones (Lieutenant governor)</v>
    <v>abaf10be-2391-4b78-4c82-8c17faa8bf28</v>
    <v>en-US</v>
    <v>Generic</v>
  </rv>
  <rv s="0">
    <v>805306368</v>
    <v>Jon Ossoff (Senate)</v>
    <v>9ae32dca-f3b6-c1bc-169f-72008326cb39</v>
    <v>en-US</v>
    <v>Generic</v>
  </rv>
  <rv s="0">
    <v>805306368</v>
    <v>Raphael Warnock (Senate)</v>
    <v>b1bcb7a9-0286-c285-5a23-52559dfc1b6a</v>
    <v>en-US</v>
    <v>Generic</v>
  </rv>
  <rv s="3">
    <v>16</v>
  </rv>
  <rv s="4">
    <v>https://www.bing.com/search?q=georgia+u+s+state&amp;form=skydnc</v>
    <v>Learn more on Bing</v>
  </rv>
  <rv s="1">
    <fb>879</fb>
    <v>12</v>
  </rv>
  <rv s="1">
    <fb>49620</fb>
    <v>12</v>
  </rv>
  <rv s="1">
    <fb>148100</fb>
    <v>12</v>
  </rv>
  <rv s="1">
    <fb>2.73</fb>
    <v>13</v>
  </rv>
  <rv s="1">
    <fb>11180878</fb>
    <v>11</v>
  </rv>
  <rv s="1">
    <fb>0.128</fb>
    <v>14</v>
  </rv>
  <rv s="1">
    <fb>0.04</fb>
    <v>14</v>
  </rv>
  <rv s="1">
    <fb>0.28800000000000003</fb>
    <v>14</v>
  </rv>
  <rv s="1">
    <fb>0.317</fb>
    <v>14</v>
  </rv>
  <rv s="1">
    <fb>0.85400000000000009</fb>
    <v>14</v>
  </rv>
  <rv s="1">
    <fb>9.4E-2</fb>
    <v>14</v>
  </rv>
  <rv s="1">
    <fb>0.623</fb>
    <v>14</v>
  </rv>
  <rv s="1">
    <fb>8.8000000000000009E-2</fb>
    <v>14</v>
  </rv>
  <rv s="1">
    <fb>0.61599999999999999</fb>
    <v>14</v>
  </rv>
  <rv s="5">
    <v>#VALUE!</v>
    <v>en-US</v>
    <v>84604bc7-2c47-4f8d-8ea5-b6ac8c018a20</v>
    <v>536870912</v>
    <v>1</v>
    <v>48</v>
    <v>5</v>
    <v>Georgia</v>
    <v>7</v>
    <v>8</v>
    <v>Map</v>
    <v>9</v>
    <v>10</v>
    <v>US-GA</v>
    <v>274</v>
    <v>275</v>
    <v>276</v>
    <v>4</v>
    <v>Georgia, officially the State of Georgia, is a state in the Southeastern region of the United States. It borders Tennessee and North Carolina to the north, South Carolina and the Atlantic Ocean to the east, Florida to the south, and Alabama to ...</v>
    <v>277</v>
    <v>278</v>
    <v>279</v>
    <v>276</v>
    <v>284</v>
    <v>285</v>
    <v>286</v>
    <v>287</v>
    <v>288</v>
    <v>Georgia</v>
    <v>18</v>
    <v>289</v>
    <v>290</v>
    <v>105</v>
    <v>291</v>
    <v>198</v>
    <v>292</v>
    <v>293</v>
    <v>294</v>
    <v>167</v>
    <v>295</v>
    <v>296</v>
    <v>297</v>
    <v>31</v>
    <v>298</v>
    <v>103</v>
    <v>267</v>
    <v>132</v>
    <v>299</v>
    <v>210</v>
    <v>Georgia</v>
    <v>mdp/vdpid/12004</v>
  </rv>
  <rv s="0">
    <v>536870912</v>
    <v>Idaho</v>
    <v>ecd30387-20fa-4523-9045-e2860154b5e9</v>
    <v>en-US</v>
    <v>Map</v>
  </rv>
  <rv s="1">
    <fb>216699</fb>
    <v>11</v>
  </rv>
  <rv s="1">
    <fb>12165</fb>
    <v>11</v>
  </rv>
  <rv s="0">
    <v>536870912</v>
    <v>Boise, Idaho</v>
    <v>1054a9b9-ef41-4b77-9953-f1ef16ec8015</v>
    <v>en-US</v>
    <v>Map</v>
  </rv>
  <rv s="1">
    <fb>589320</fb>
    <v>11</v>
  </rv>
  <rv s="1">
    <fb>700825</fb>
    <v>11</v>
  </rv>
  <rv s="2">
    <v>9</v>
    <v>9</v>
    <v>49</v>
    <v>7</v>
    <v>0</v>
    <v>Image of Idaho</v>
  </rv>
  <rv s="0">
    <v>805306368</v>
    <v>Brad Little (Governor)</v>
    <v>135ff875-8d96-6f51-3eae-347573bc2b5e</v>
    <v>en-US</v>
    <v>Generic</v>
  </rv>
  <rv s="0">
    <v>805306368</v>
    <v>Scott Bedke (Lieutenant governor)</v>
    <v>be8f5adf-6e01-67c0-5d19-fa17c594a297</v>
    <v>en-US</v>
    <v>Generic</v>
  </rv>
  <rv s="0">
    <v>805306368</v>
    <v>Mike Crapo (Senate)</v>
    <v>58e344ac-f5b6-a371-d18b-e84da803a187</v>
    <v>en-US</v>
    <v>Generic</v>
  </rv>
  <rv s="0">
    <v>805306368</v>
    <v>Jim Risch (Senate)</v>
    <v>efe1fdc7-bf51-3e76-dee8-ac3de7719f34</v>
    <v>en-US</v>
    <v>Generic</v>
  </rv>
  <rv s="3">
    <v>17</v>
  </rv>
  <rv s="4">
    <v>https://www.bing.com/search?q=idaho&amp;form=skydnc</v>
    <v>Learn more on Bing</v>
  </rv>
  <rv s="1">
    <fb>743</fb>
    <v>12</v>
  </rv>
  <rv s="1">
    <fb>47583</fb>
    <v>12</v>
  </rv>
  <rv s="1">
    <fb>162900</fb>
    <v>12</v>
  </rv>
  <rv s="1">
    <fb>2001619</fb>
    <v>11</v>
  </rv>
  <rv s="1">
    <fb>7.400000000000001E-2</fb>
    <v>14</v>
  </rv>
  <rv s="1">
    <fb>1.4999999999999999E-2</fb>
    <v>14</v>
  </rv>
  <rv s="1">
    <fb>0.25900000000000001</fb>
    <v>14</v>
  </rv>
  <rv s="1">
    <fb>8.0000000000000002E-3</fb>
    <v>14</v>
  </rv>
  <rv s="1">
    <fb>6.0999999999999999E-2</fb>
    <v>14</v>
  </rv>
  <rv s="1">
    <fb>0.89500000000000002</fb>
    <v>14</v>
  </rv>
  <rv s="1">
    <fb>0.122</fb>
    <v>14</v>
  </rv>
  <rv s="1">
    <fb>0.626</fb>
    <v>14</v>
  </rv>
  <rv s="1">
    <fb>2.3E-2</fb>
    <v>14</v>
  </rv>
  <rv s="1">
    <fb>0.26200000000000001</fb>
    <v>14</v>
  </rv>
  <rv s="1">
    <fb>0.93400000000000005</fb>
    <v>14</v>
  </rv>
  <rv s="3">
    <v>18</v>
  </rv>
  <rv s="5">
    <v>#VALUE!</v>
    <v>en-US</v>
    <v>ecd30387-20fa-4523-9045-e2860154b5e9</v>
    <v>536870912</v>
    <v>1</v>
    <v>52</v>
    <v>5</v>
    <v>Idaho</v>
    <v>7</v>
    <v>8</v>
    <v>Map</v>
    <v>9</v>
    <v>10</v>
    <v>US-ID</v>
    <v>302</v>
    <v>303</v>
    <v>304</v>
    <v>4</v>
    <v>Idaho is a landlocked state in the Pacific Northwest and Mountain West subregions of the Western United States. It borders Montana and Wyoming to the east, Nevada and Utah to the south, and Washington and Oregon to the west; the state shares a ...</v>
    <v>305</v>
    <v>306</v>
    <v>307</v>
    <v>304</v>
    <v>312</v>
    <v>313</v>
    <v>314</v>
    <v>315</v>
    <v>316</v>
    <v>Idaho</v>
    <v>91</v>
    <v>55</v>
    <v>317</v>
    <v>318</v>
    <v>130</v>
    <v>129</v>
    <v>319</v>
    <v>320</v>
    <v>321</v>
    <v>322</v>
    <v>323</v>
    <v>324</v>
    <v>325</v>
    <v>171</v>
    <v>237</v>
    <v>326</v>
    <v>327</v>
    <v>138</v>
    <v>328</v>
    <v>329</v>
    <v>Idaho</v>
    <v>mdp/vdpid/14713</v>
  </rv>
  <rv s="0">
    <v>536870912</v>
    <v>Illinois</v>
    <v>4131acb8-628a-4241-8920-ca79eab9dade</v>
    <v>en-US</v>
    <v>Map</v>
  </rv>
  <rv s="1">
    <fb>149998</fb>
    <v>11</v>
  </rv>
  <rv s="1">
    <fb>22603</fb>
    <v>11</v>
  </rv>
  <rv s="0">
    <v>536870912</v>
    <v>Springfield, Illinois</v>
    <v>dc562bf8-bf83-4505-8a1b-0bdb5bd605f8</v>
    <v>en-US</v>
    <v>Map</v>
  </rv>
  <rv s="1">
    <fb>4786388</fb>
    <v>11</v>
  </rv>
  <rv s="1">
    <fb>5326970</fb>
    <v>11</v>
  </rv>
  <rv s="2">
    <v>10</v>
    <v>9</v>
    <v>53</v>
    <v>7</v>
    <v>0</v>
    <v>Image of Illinois</v>
  </rv>
  <rv s="0">
    <v>536870912</v>
    <v>Chicago</v>
    <v>28deeb39-ca49-4bd4-913b-929b1de4b25b</v>
    <v>en-US</v>
    <v>Map</v>
  </rv>
  <rv s="0">
    <v>805306368</v>
    <v>JB Pritzker (Governor)</v>
    <v>b759cb46-ad88-1a31-2b59-96119b3d5661</v>
    <v>en-US</v>
    <v>Generic</v>
  </rv>
  <rv s="0">
    <v>805306368</v>
    <v>Juliana Stratton (Lieutenant governor)</v>
    <v>b1e39d21-a189-eb04-4b28-4942fe9dcb39</v>
    <v>en-US</v>
    <v>Generic</v>
  </rv>
  <rv s="0">
    <v>805306368</v>
    <v>Dick Durbin (Senate)</v>
    <v>39cda51e-89dc-c35b-7e31-76f82e75fe08</v>
    <v>en-US</v>
    <v>Generic</v>
  </rv>
  <rv s="0">
    <v>805306368</v>
    <v>Tammy Duckworth (Senate)</v>
    <v>2df4f5f2-221e-6c63-c1d6-c100d6489731</v>
    <v>en-US</v>
    <v>Generic</v>
  </rv>
  <rv s="3">
    <v>19</v>
  </rv>
  <rv s="4">
    <v>https://www.bing.com/search?q=illinois&amp;form=skydnc</v>
    <v>Learn more on Bing</v>
  </rv>
  <rv s="1">
    <fb>907</fb>
    <v>12</v>
  </rv>
  <rv s="1">
    <fb>57574</fb>
    <v>12</v>
  </rv>
  <rv s="1">
    <fb>173800</fb>
    <v>12</v>
  </rv>
  <rv s="1">
    <fb>12710158</fb>
    <v>11</v>
  </rv>
  <rv s="1">
    <fb>-2E-3</fb>
    <v>14</v>
  </rv>
  <rv s="1">
    <fb>0.14199999999999999</fb>
    <v>14</v>
  </rv>
  <rv s="1">
    <fb>6.0000000000000001E-3</fb>
    <v>15</v>
  </rv>
  <rv s="1">
    <fb>5.5E-2</fb>
    <v>14</v>
  </rv>
  <rv s="1">
    <fb>0.32299999999999995</fb>
    <v>14</v>
  </rv>
  <rv s="1">
    <fb>0.14000000000000001</fb>
    <v>14</v>
  </rv>
  <rv s="1">
    <fb>0.879</fb>
    <v>14</v>
  </rv>
  <rv s="1">
    <fb>0.16899999999999998</fb>
    <v>14</v>
  </rv>
  <rv s="1">
    <fb>0.65599999999999992</fb>
    <v>14</v>
  </rv>
  <rv s="1">
    <fb>1.9E-2</fb>
    <v>14</v>
  </rv>
  <rv s="1">
    <fb>0.77300000000000002</fb>
    <v>14</v>
  </rv>
  <rv s="5">
    <v>#VALUE!</v>
    <v>en-US</v>
    <v>4131acb8-628a-4241-8920-ca79eab9dade</v>
    <v>536870912</v>
    <v>1</v>
    <v>56</v>
    <v>5</v>
    <v>Illinois</v>
    <v>7</v>
    <v>8</v>
    <v>Map</v>
    <v>9</v>
    <v>10</v>
    <v>US-IL</v>
    <v>332</v>
    <v>333</v>
    <v>334</v>
    <v>4</v>
    <v>Illinois is a state in the Midwestern region of the United States. It borders on Lake Michigan to its northeast, the Mississippi River to its west, and the Wabash and Ohio rivers to its south. Of the fifty U.S. states, Illinois has the ...</v>
    <v>335</v>
    <v>336</v>
    <v>337</v>
    <v>338</v>
    <v>343</v>
    <v>344</v>
    <v>345</v>
    <v>346</v>
    <v>347</v>
    <v>Illinois</v>
    <v>18</v>
    <v>258</v>
    <v>348</v>
    <v>349</v>
    <v>350</v>
    <v>351</v>
    <v>352</v>
    <v>353</v>
    <v>130</v>
    <v>354</v>
    <v>355</v>
    <v>356</v>
    <v>357</v>
    <v>31</v>
    <v>206</v>
    <v>358</v>
    <v>173</v>
    <v>322</v>
    <v>359</v>
    <v>37</v>
    <v>Illinois</v>
    <v>mdp/vdpid/14808</v>
  </rv>
  <rv s="0">
    <v>536870912</v>
    <v>Indiana</v>
    <v>109f7e5a-efbb-4953-b4b8-cb812ce1ff5d</v>
    <v>en-US</v>
    <v>Map</v>
  </rv>
  <rv s="1">
    <fb>94321</fb>
    <v>11</v>
  </rv>
  <rv s="1">
    <fb>18713</fb>
    <v>11</v>
  </rv>
  <rv s="0">
    <v>536870912</v>
    <v>Indianapolis</v>
    <v>28ad13c5-50fe-aae3-acb8-c5dea28be321</v>
    <v>en-US</v>
    <v>Map</v>
  </rv>
  <rv s="1">
    <fb>2501937</fb>
    <v>11</v>
  </rv>
  <rv s="1">
    <fb>2854546</fb>
    <v>11</v>
  </rv>
  <rv s="2">
    <v>11</v>
    <v>9</v>
    <v>57</v>
    <v>7</v>
    <v>0</v>
    <v>Image of Indiana</v>
  </rv>
  <rv s="0">
    <v>805306368</v>
    <v>Mike Braun (Governor)</v>
    <v>de1d9849-f100-7e2b-f9b6-052d6838f115</v>
    <v>en-US</v>
    <v>Generic</v>
  </rv>
  <rv s="0">
    <v>805306368</v>
    <v>Micah Beckwith (Lieutenant governor)</v>
    <v>18bc7343-e4d4-d24b-ad00-f21f062048d6</v>
    <v>en-US</v>
    <v>Generic</v>
  </rv>
  <rv s="0">
    <v>805306368</v>
    <v>Todd Young (Senate)</v>
    <v>644a3110-22ae-349f-f81c-51fb401698e3</v>
    <v>en-US</v>
    <v>Generic</v>
  </rv>
  <rv s="0">
    <v>805306368</v>
    <v>Jim Banks (Senate)</v>
    <v>c44f0d80-3165-3119-6782-4286d5dcfc9e</v>
    <v>en-US</v>
    <v>Generic</v>
  </rv>
  <rv s="3">
    <v>20</v>
  </rv>
  <rv s="4">
    <v>https://www.bing.com/search?q=indiana&amp;form=skydnc</v>
    <v>Learn more on Bing</v>
  </rv>
  <rv s="1">
    <fb>745</fb>
    <v>12</v>
  </rv>
  <rv s="1">
    <fb>49255</fb>
    <v>12</v>
  </rv>
  <rv s="1">
    <fb>124200</fb>
    <v>12</v>
  </rv>
  <rv s="1">
    <fb>6924275</fb>
    <v>11</v>
  </rv>
  <rv s="1">
    <fb>0.14599999999999999</fb>
    <v>14</v>
  </rv>
  <rv s="1">
    <fb>4.0000000000000001E-3</fb>
    <v>15</v>
  </rv>
  <rv s="1">
    <fb>2.1000000000000001E-2</fb>
    <v>14</v>
  </rv>
  <rv s="1">
    <fb>0.24100000000000002</fb>
    <v>14</v>
  </rv>
  <rv s="1">
    <fb>0.878</fb>
    <v>14</v>
  </rv>
  <rv s="1">
    <fb>6.7000000000000004E-2</fb>
    <v>14</v>
  </rv>
  <rv s="1">
    <fb>0.63900000000000001</fb>
    <v>14</v>
  </rv>
  <rv s="1">
    <fb>9.6999999999999989E-2</fb>
    <v>14</v>
  </rv>
  <rv s="1">
    <fb>0.23899999999999999</fb>
    <v>14</v>
  </rv>
  <rv s="1">
    <fb>0.85799999999999998</fb>
    <v>14</v>
  </rv>
  <rv s="5">
    <v>#VALUE!</v>
    <v>en-US</v>
    <v>109f7e5a-efbb-4953-b4b8-cb812ce1ff5d</v>
    <v>536870912</v>
    <v>1</v>
    <v>60</v>
    <v>5</v>
    <v>Indiana</v>
    <v>7</v>
    <v>8</v>
    <v>Map</v>
    <v>9</v>
    <v>10</v>
    <v>US-IN</v>
    <v>362</v>
    <v>363</v>
    <v>364</v>
    <v>4</v>
    <v>Indiana is a state in the Midwestern region of the United States. It borders Lake Michigan to the northwest, Michigan to the north and northeast, Ohio to the east, the Ohio River and Kentucky to the south and southeast, and the Wabash River and ...</v>
    <v>365</v>
    <v>366</v>
    <v>367</v>
    <v>364</v>
    <v>372</v>
    <v>373</v>
    <v>374</v>
    <v>375</v>
    <v>376</v>
    <v>Indiana</v>
    <v>91</v>
    <v>19</v>
    <v>377</v>
    <v>326</v>
    <v>378</v>
    <v>379</v>
    <v>380</v>
    <v>381</v>
    <v>260</v>
    <v>62</v>
    <v>382</v>
    <v>383</v>
    <v>384</v>
    <v>31</v>
    <v>385</v>
    <v>358</v>
    <v>386</v>
    <v>71</v>
    <v>387</v>
    <v>210</v>
    <v>Indiana</v>
    <v>mdp/vdpid/14882</v>
  </rv>
  <rv s="0">
    <v>536870912</v>
    <v>Iowa</v>
    <v>77850824-b07a-487a-af58-37f9949afc27</v>
    <v>en-US</v>
    <v>Map</v>
  </rv>
  <rv s="1">
    <fb>145746</fb>
    <v>11</v>
  </rv>
  <rv s="1">
    <fb>14317</fb>
    <v>11</v>
  </rv>
  <rv s="0">
    <v>536870912</v>
    <v>Des Moines, Iowa</v>
    <v>a4592975-b658-4874-8c06-906edcde2841</v>
    <v>en-US</v>
    <v>Map</v>
  </rv>
  <rv s="1">
    <fb>1236409</fb>
    <v>11</v>
  </rv>
  <rv s="1">
    <fb>1380162</fb>
    <v>11</v>
  </rv>
  <rv s="2">
    <v>12</v>
    <v>9</v>
    <v>61</v>
    <v>7</v>
    <v>0</v>
    <v>Image of Iowa</v>
  </rv>
  <rv s="0">
    <v>805306368</v>
    <v>Kim Reynolds (Governor)</v>
    <v>5a53cf17-9d69-0115-9fad-e65c96b79e58</v>
    <v>en-US</v>
    <v>Generic</v>
  </rv>
  <rv s="0">
    <v>805306368</v>
    <v>Chris Cournoyer (Lieutenant governor)</v>
    <v>d2566884-653d-afdb-e4d1-04b498ecb005</v>
    <v>en-US</v>
    <v>Generic</v>
  </rv>
  <rv s="0">
    <v>805306368</v>
    <v>Chuck Grassley (Senate)</v>
    <v>f108a253-5d62-c018-e5c0-3962d9ca0a9b</v>
    <v>en-US</v>
    <v>Generic</v>
  </rv>
  <rv s="0">
    <v>805306368</v>
    <v>Joni Ernst (Senate)</v>
    <v>6b45ca38-e2ee-e00e-7985-25132e676665</v>
    <v>en-US</v>
    <v>Generic</v>
  </rv>
  <rv s="3">
    <v>21</v>
  </rv>
  <rv s="4">
    <v>https://www.bing.com/search?q=iowa&amp;form=skydnc</v>
    <v>Learn more on Bing</v>
  </rv>
  <rv s="1">
    <fb>697</fb>
    <v>12</v>
  </rv>
  <rv s="1">
    <fb>53183</fb>
    <v>12</v>
  </rv>
  <rv s="1">
    <fb>129200</fb>
    <v>12</v>
  </rv>
  <rv s="1">
    <fb>2.42</fb>
    <v>13</v>
  </rv>
  <rv s="1">
    <fb>3241488</fb>
    <v>11</v>
  </rv>
  <rv s="1">
    <fb>0.161</fb>
    <v>14</v>
  </rv>
  <rv s="1">
    <fb>2.4E-2</fb>
    <v>14</v>
  </rv>
  <rv s="1">
    <fb>0.26700000000000002</fb>
    <v>14</v>
  </rv>
  <rv s="1">
    <fb>0.91500000000000004</fb>
    <v>14</v>
  </rv>
  <rv s="1">
    <fb>5.7000000000000002E-2</fb>
    <v>14</v>
  </rv>
  <rv s="1">
    <fb>7.9000000000000001E-2</fb>
    <v>14</v>
  </rv>
  <rv s="1">
    <fb>1.8000000000000002E-2</fb>
    <v>14</v>
  </rv>
  <rv s="1">
    <fb>0.91799999999999993</fb>
    <v>14</v>
  </rv>
  <rv s="5">
    <v>#VALUE!</v>
    <v>en-US</v>
    <v>77850824-b07a-487a-af58-37f9949afc27</v>
    <v>536870912</v>
    <v>1</v>
    <v>64</v>
    <v>5</v>
    <v>Iowa</v>
    <v>7</v>
    <v>8</v>
    <v>Map</v>
    <v>9</v>
    <v>10</v>
    <v>US-IA</v>
    <v>390</v>
    <v>391</v>
    <v>392</v>
    <v>4</v>
    <v>Iowa is a state in the upper Midwestern region of the United States. It borders the Mississippi River to the east and the Missouri River and Big Sioux River to the west; Wisconsin to the northeast, Illinois to the east and southeast, Missouri to ...</v>
    <v>393</v>
    <v>394</v>
    <v>395</v>
    <v>392</v>
    <v>400</v>
    <v>401</v>
    <v>402</v>
    <v>403</v>
    <v>404</v>
    <v>Iowa</v>
    <v>18</v>
    <v>405</v>
    <v>406</v>
    <v>172</v>
    <v>407</v>
    <v>198</v>
    <v>408</v>
    <v>409</v>
    <v>27</v>
    <v>98</v>
    <v>410</v>
    <v>411</v>
    <v>170</v>
    <v>31</v>
    <v>412</v>
    <v>413</v>
    <v>140</v>
    <v>71</v>
    <v>414</v>
    <v>37</v>
    <v>Iowa</v>
    <v>mdp/vdpid/14987</v>
  </rv>
  <rv s="0">
    <v>536870912</v>
    <v>Kansas</v>
    <v>6e527b71-bd3e-4bc1-b1c0-59d288b4fd5e</v>
    <v>en-US</v>
    <v>Map</v>
  </rv>
  <rv s="1">
    <fb>213100</fb>
    <v>11</v>
  </rv>
  <rv s="1">
    <fb>9807</fb>
    <v>11</v>
  </rv>
  <rv s="0">
    <v>536870912</v>
    <v>Topeka, Kansas</v>
    <v>98f8ec52-b318-4d58-b2b4-598ff64e4cfe</v>
    <v>en-US</v>
    <v>Map</v>
  </rv>
  <rv s="1">
    <fb>1113472</fb>
    <v>11</v>
  </rv>
  <rv s="1">
    <fb>1259864</fb>
    <v>11</v>
  </rv>
  <rv s="2">
    <v>13</v>
    <v>9</v>
    <v>65</v>
    <v>7</v>
    <v>0</v>
    <v>Image of Kansas</v>
  </rv>
  <rv s="0">
    <v>536870912</v>
    <v>Wichita, Kansas</v>
    <v>bdf955f3-7da2-4896-9ea3-01394e083cf2</v>
    <v>en-US</v>
    <v>Map</v>
  </rv>
  <rv s="0">
    <v>805306368</v>
    <v>Laura Kelly (Governor)</v>
    <v>d58f1816-72cc-3140-0980-ec882a090f87</v>
    <v>en-US</v>
    <v>Generic</v>
  </rv>
  <rv s="0">
    <v>805306368</v>
    <v>David Toland (Lieutenant governor)</v>
    <v>31381051-b507-1bd7-8dc4-e348a453b0a5</v>
    <v>en-US</v>
    <v>Generic</v>
  </rv>
  <rv s="0">
    <v>805306368</v>
    <v>Jerry Moran (Senate)</v>
    <v>9d285cdd-bdbd-2e72-6f7f-0a7e11ac759a</v>
    <v>en-US</v>
    <v>Generic</v>
  </rv>
  <rv s="0">
    <v>805306368</v>
    <v>Roger Marshall (Senate)</v>
    <v>006180cf-bff5-1953-56e7-81473af28a2d</v>
    <v>en-US</v>
    <v>Generic</v>
  </rv>
  <rv s="3">
    <v>22</v>
  </rv>
  <rv s="4">
    <v>https://www.bing.com/search?q=kansas&amp;form=skydnc</v>
    <v>Learn more on Bing</v>
  </rv>
  <rv s="1">
    <fb>757</fb>
    <v>12</v>
  </rv>
  <rv s="1">
    <fb>52205</fb>
    <v>12</v>
  </rv>
  <rv s="1">
    <fb>132000</fb>
    <v>12</v>
  </rv>
  <rv s="1">
    <fb>2970606</fb>
    <v>11</v>
  </rv>
  <rv s="1">
    <fb>1.2E-2</fb>
    <v>15</v>
  </rv>
  <rv s="1">
    <fb>0.31</fb>
    <v>14</v>
  </rv>
  <rv s="1">
    <fb>6.9000000000000006E-2</fb>
    <v>14</v>
  </rv>
  <rv s="1">
    <fb>0.90200000000000002</fb>
    <v>14</v>
  </rv>
  <rv s="1">
    <fb>0.66299999999999992</fb>
    <v>14</v>
  </rv>
  <rv s="1">
    <fb>8.5999999999999993E-2</fb>
    <v>14</v>
  </rv>
  <rv s="1">
    <fb>0.247</fb>
    <v>14</v>
  </rv>
  <rv s="1">
    <fb>0.86699999999999999</fb>
    <v>14</v>
  </rv>
  <rv s="5">
    <v>#VALUE!</v>
    <v>en-US</v>
    <v>6e527b71-bd3e-4bc1-b1c0-59d288b4fd5e</v>
    <v>536870912</v>
    <v>1</v>
    <v>68</v>
    <v>5</v>
    <v>Kansas</v>
    <v>7</v>
    <v>8</v>
    <v>Map</v>
    <v>9</v>
    <v>10</v>
    <v>US-KS</v>
    <v>417</v>
    <v>418</v>
    <v>419</v>
    <v>4</v>
    <v>Kansas is a landlocked state in the Midwestern region of the United States. It borders Nebraska to the north; Missouri to the east; Oklahoma to the south; and Colorado to the west. Kansas is named after the Kansas River, in turn named after the ...</v>
    <v>420</v>
    <v>421</v>
    <v>422</v>
    <v>423</v>
    <v>428</v>
    <v>429</v>
    <v>430</v>
    <v>431</v>
    <v>432</v>
    <v>Kansas</v>
    <v>18</v>
    <v>92</v>
    <v>433</v>
    <v>358</v>
    <v>378</v>
    <v>434</v>
    <v>172</v>
    <v>435</v>
    <v>71</v>
    <v>436</v>
    <v>437</v>
    <v>201</v>
    <v>438</v>
    <v>31</v>
    <v>439</v>
    <v>172</v>
    <v>440</v>
    <v>138</v>
    <v>441</v>
    <v>37</v>
    <v>Kansas</v>
    <v>mdp/vdpid/16121</v>
  </rv>
  <rv s="0">
    <v>536870912</v>
    <v>Kentucky</v>
    <v>108dfd18-4626-481a-8dfa-18f64e6eac84</v>
    <v>en-US</v>
    <v>Map</v>
  </rv>
  <rv s="1">
    <fb>104659</fb>
    <v>11</v>
  </rv>
  <rv s="1">
    <fb>12714</fb>
    <v>11</v>
  </rv>
  <rv s="0">
    <v>536870912</v>
    <v>Frankfort, Kentucky</v>
    <v>77808127-2585-ed16-992f-4dbf7cb32377</v>
    <v>en-US</v>
    <v>Map</v>
  </rv>
  <rv s="1">
    <fb>1708499</fb>
    <v>11</v>
  </rv>
  <rv s="1">
    <fb>1965556</fb>
    <v>11</v>
  </rv>
  <rv s="2">
    <v>14</v>
    <v>9</v>
    <v>69</v>
    <v>7</v>
    <v>0</v>
    <v>Image of Kentucky</v>
  </rv>
  <rv s="0">
    <v>536870912</v>
    <v>Louisville, Kentucky</v>
    <v>1bc669d8-9310-926f-25b9-880f75cd4247</v>
    <v>en-US</v>
    <v>Map</v>
  </rv>
  <rv s="0">
    <v>805306368</v>
    <v>Andy Beshear (Governor)</v>
    <v>b3d019c3-d02d-e300-b685-dad592322a24</v>
    <v>en-US</v>
    <v>Generic</v>
  </rv>
  <rv s="0">
    <v>805306368</v>
    <v>Jacqueline Coleman (Lieutenant governor)</v>
    <v>e703cb28-e073-92db-a598-7a547e2418d3</v>
    <v>en-US</v>
    <v>Generic</v>
  </rv>
  <rv s="0">
    <v>805306368</v>
    <v>Mitch McConnell (Senate)</v>
    <v>d7ef5149-eb90-bb30-5f10-3aa4c1193a2c</v>
    <v>en-US</v>
    <v>Generic</v>
  </rv>
  <rv s="0">
    <v>805306368</v>
    <v>Rand Paul (Senate)</v>
    <v>96f17cfa-d01d-e202-733b-d1f8ab63a1b9</v>
    <v>en-US</v>
    <v>Generic</v>
  </rv>
  <rv s="3">
    <v>23</v>
  </rv>
  <rv s="4">
    <v>https://www.bing.com/search?q=kentucky&amp;form=skydnc</v>
    <v>Learn more on Bing</v>
  </rv>
  <rv s="1">
    <fb>675</fb>
    <v>12</v>
  </rv>
  <rv s="1">
    <fb>43740</fb>
    <v>12</v>
  </rv>
  <rv s="1">
    <fb>123200</fb>
    <v>12</v>
  </rv>
  <rv s="1">
    <fb>2.5</fb>
    <v>13</v>
  </rv>
  <rv s="1">
    <fb>4588372</fb>
    <v>11</v>
  </rv>
  <rv s="1">
    <fb>0.152</fb>
    <v>14</v>
  </rv>
  <rv s="1">
    <fb>3.0000000000000001E-3</fb>
    <v>15</v>
  </rv>
  <rv s="1">
    <fb>0.223</fb>
    <v>14</v>
  </rv>
  <rv s="1">
    <fb>8.3000000000000004E-2</fb>
    <v>14</v>
  </rv>
  <rv s="1">
    <fb>0.84200000000000008</fb>
    <v>14</v>
  </rv>
  <rv s="1">
    <fb>0.59099999999999997</fb>
    <v>14</v>
  </rv>
  <rv s="1">
    <fb>0.129</fb>
    <v>14</v>
  </rv>
  <rv s="1">
    <fb>0.22899999999999998</fb>
    <v>14</v>
  </rv>
  <rv s="1">
    <fb>0.88099999999999989</fb>
    <v>14</v>
  </rv>
  <rv s="5">
    <v>#VALUE!</v>
    <v>en-US</v>
    <v>108dfd18-4626-481a-8dfa-18f64e6eac84</v>
    <v>536870912</v>
    <v>1</v>
    <v>72</v>
    <v>5</v>
    <v>Kentucky</v>
    <v>7</v>
    <v>8</v>
    <v>Map</v>
    <v>9</v>
    <v>10</v>
    <v>US-KY</v>
    <v>444</v>
    <v>445</v>
    <v>446</v>
    <v>4</v>
    <v>Kentucky, officially the Commonwealth of Kentucky, is a landlocked state in the Southeastern region of the United States. It borders Illinois, Indiana, and Ohio to the north, West Virginia to the northeast, Virginia to the east, Tennessee to the ...</v>
    <v>447</v>
    <v>448</v>
    <v>449</v>
    <v>450</v>
    <v>455</v>
    <v>456</v>
    <v>457</v>
    <v>458</v>
    <v>459</v>
    <v>Kentucky</v>
    <v>18</v>
    <v>460</v>
    <v>461</v>
    <v>207</v>
    <v>462</v>
    <v>463</v>
    <v>24</v>
    <v>464</v>
    <v>465</v>
    <v>60</v>
    <v>466</v>
    <v>60</v>
    <v>467</v>
    <v>31</v>
    <v>468</v>
    <v>413</v>
    <v>469</v>
    <v>71</v>
    <v>470</v>
    <v>210</v>
    <v>Kentucky</v>
    <v>mdp/vdpid/16480</v>
  </rv>
  <rv s="0">
    <v>536870912</v>
    <v>Louisiana</v>
    <v>0ca1e87f-e2f6-43fb-8deb-d22bd09a9cae</v>
    <v>en-US</v>
    <v>Map</v>
  </rv>
  <rv s="1">
    <fb>135382</fb>
    <v>11</v>
  </rv>
  <rv s="1">
    <fb>14503</fb>
    <v>11</v>
  </rv>
  <rv s="0">
    <v>536870912</v>
    <v>Baton Rouge, Louisiana</v>
    <v>dc17dbc5-08e4-4782-8f58-e5ce764122b6</v>
    <v>en-US</v>
    <v>Map</v>
  </rv>
  <rv s="1">
    <fb>1727919</fb>
    <v>11</v>
  </rv>
  <rv s="1">
    <fb>2036975</fb>
    <v>11</v>
  </rv>
  <rv s="2">
    <v>15</v>
    <v>9</v>
    <v>73</v>
    <v>7</v>
    <v>0</v>
    <v>Image of Louisiana</v>
  </rv>
  <rv s="0">
    <v>536870912</v>
    <v>New Orleans</v>
    <v>465e78cf-aa9a-491f-9167-4520c7110824</v>
    <v>en-US</v>
    <v>Map</v>
  </rv>
  <rv s="0">
    <v>805306368</v>
    <v>Jeff Landry (Governor)</v>
    <v>d492bfcb-cae8-2b79-02a0-bd16694ca8f1</v>
    <v>en-US</v>
    <v>Generic</v>
  </rv>
  <rv s="0">
    <v>805306368</v>
    <v>Billy Nungesser (Lieutenant governor)</v>
    <v>edba98a9-8f96-5d5f-2a33-d387284d930d</v>
    <v>en-US</v>
    <v>Generic</v>
  </rv>
  <rv s="0">
    <v>805306368</v>
    <v>Bill Cassidy (Senate)</v>
    <v>23d46db6-3b3f-47f4-80e7-ed2027ac6347</v>
    <v>en-US</v>
    <v>Generic</v>
  </rv>
  <rv s="0">
    <v>805306368</v>
    <v>John Kennedy (Senate)</v>
    <v>e3825889-48aa-6c64-9811-067af6c09e88</v>
    <v>en-US</v>
    <v>Generic</v>
  </rv>
  <rv s="3">
    <v>24</v>
  </rv>
  <rv s="4">
    <v>https://www.bing.com/search?q=louisiana&amp;form=skydnc</v>
    <v>Learn more on Bing</v>
  </rv>
  <rv s="1">
    <fb>788</fb>
    <v>12</v>
  </rv>
  <rv s="1">
    <fb>45047</fb>
    <v>12</v>
  </rv>
  <rv s="1">
    <fb>144100</fb>
    <v>12</v>
  </rv>
  <rv s="3">
    <v>25</v>
  </rv>
  <rv s="1">
    <fb>2.6</fb>
    <v>13</v>
  </rv>
  <rv s="1">
    <fb>4597740</fb>
    <v>11</v>
  </rv>
  <rv s="1">
    <fb>3.3000000000000002E-2</fb>
    <v>14</v>
  </rv>
  <rv s="1">
    <fb>8.0000000000000002E-3</fb>
    <v>15</v>
  </rv>
  <rv s="1">
    <fb>0.22500000000000001</fb>
    <v>14</v>
  </rv>
  <rv s="1">
    <fb>0.32500000000000001</fb>
    <v>14</v>
  </rv>
  <rv s="1">
    <fb>0.83400000000000007</fb>
    <v>14</v>
  </rv>
  <rv s="1">
    <fb>0.05</fb>
    <v>14</v>
  </rv>
  <rv s="1">
    <fb>0.60399999999999998</fb>
    <v>14</v>
  </rv>
  <rv s="1">
    <fb>0.11</fb>
    <v>14</v>
  </rv>
  <rv s="1">
    <fb>0.63200000000000001</fb>
    <v>14</v>
  </rv>
  <rv s="5">
    <v>#VALUE!</v>
    <v>en-US</v>
    <v>0ca1e87f-e2f6-43fb-8deb-d22bd09a9cae</v>
    <v>536870912</v>
    <v>1</v>
    <v>76</v>
    <v>5</v>
    <v>Louisiana</v>
    <v>7</v>
    <v>8</v>
    <v>Map</v>
    <v>9</v>
    <v>10</v>
    <v>US-LA</v>
    <v>473</v>
    <v>474</v>
    <v>475</v>
    <v>4</v>
    <v>Louisiana is a state in the Deep South and South Central regions of the United States. It borders Texas to the west, Arkansas to the north, and Mississippi to the east. Of the 50 U.S. states, it ranks 31st in area and 25th in population, with ...</v>
    <v>476</v>
    <v>477</v>
    <v>478</v>
    <v>479</v>
    <v>484</v>
    <v>485</v>
    <v>486</v>
    <v>487</v>
    <v>488</v>
    <v>Louisiana</v>
    <v>489</v>
    <v>490</v>
    <v>491</v>
    <v>492</v>
    <v>354</v>
    <v>493</v>
    <v>413</v>
    <v>494</v>
    <v>495</v>
    <v>292</v>
    <v>496</v>
    <v>497</v>
    <v>498</v>
    <v>31</v>
    <v>499</v>
    <v>33</v>
    <v>386</v>
    <v>383</v>
    <v>500</v>
    <v>37</v>
    <v>Louisiana</v>
    <v>mdp/vdpid/19283</v>
  </rv>
  <rv s="0">
    <v>536870912</v>
    <v>Maine</v>
    <v>d62dd683-9cf9-4db9-a497-d810d529592b</v>
    <v>en-US</v>
    <v>Map</v>
  </rv>
  <rv s="1">
    <fb>91646</fb>
    <v>11</v>
  </rv>
  <rv s="1">
    <fb>4010</fb>
    <v>11</v>
  </rv>
  <rv s="0">
    <v>536870912</v>
    <v>Augusta, Maine</v>
    <v>a6f13dc8-92ac-2fb1-cb14-adfd42dc32be</v>
    <v>en-US</v>
    <v>Map</v>
  </rv>
  <rv s="1">
    <fb>553284</fb>
    <v>11</v>
  </rv>
  <rv s="1">
    <fb>730705</fb>
    <v>11</v>
  </rv>
  <rv s="2">
    <v>16</v>
    <v>9</v>
    <v>77</v>
    <v>7</v>
    <v>0</v>
    <v>Image of Maine</v>
  </rv>
  <rv s="0">
    <v>536870912</v>
    <v>Portland, Maine</v>
    <v>faa79e83-dad6-af0a-6f59-a774a9a659a6</v>
    <v>en-US</v>
    <v>Map</v>
  </rv>
  <rv s="0">
    <v>805306368</v>
    <v>Janet Mills (Governor)</v>
    <v>a46a0212-e842-c48d-8bde-90ee5acba105</v>
    <v>en-US</v>
    <v>Generic</v>
  </rv>
  <rv s="0">
    <v>805306368</v>
    <v>Susan Collins (Senate)</v>
    <v>aaad9d58-ed73-4938-bfdc-c03cdc232d44</v>
    <v>en-US</v>
    <v>Generic</v>
  </rv>
  <rv s="0">
    <v>805306368</v>
    <v>Angus King (Senate)</v>
    <v>ae56a193-d51f-9bf9-61be-255f3573d439</v>
    <v>en-US</v>
    <v>Generic</v>
  </rv>
  <rv s="3">
    <v>26</v>
  </rv>
  <rv s="4">
    <v>https://www.bing.com/search?q=maine&amp;form=skydnc</v>
    <v>Learn more on Bing</v>
  </rv>
  <rv s="1">
    <fb>777</fb>
    <v>12</v>
  </rv>
  <rv s="1">
    <fb>49331</fb>
    <v>12</v>
  </rv>
  <rv s="1">
    <fb>2.34</fb>
    <v>13</v>
  </rv>
  <rv s="1">
    <fb>1405012</fb>
    <v>11</v>
  </rv>
  <rv s="1">
    <fb>0.188</fb>
    <v>14</v>
  </rv>
  <rv s="1">
    <fb>1.2E-2</fb>
    <v>14</v>
  </rv>
  <rv s="1">
    <fb>0.28999999999999998</fb>
    <v>14</v>
  </rv>
  <rv s="1">
    <fb>0.91599999999999993</fb>
    <v>14</v>
  </rv>
  <rv s="1">
    <fb>0.63400000000000001</fb>
    <v>14</v>
  </rv>
  <rv s="1">
    <fb>0.11900000000000001</fb>
    <v>14</v>
  </rv>
  <rv s="1">
    <fb>0.193</fb>
    <v>14</v>
  </rv>
  <rv s="1">
    <fb>4.9000000000000002E-2</fb>
    <v>14</v>
  </rv>
  <rv s="1">
    <fb>0.94900000000000007</fb>
    <v>14</v>
  </rv>
  <rv s="7">
    <v>#VALUE!</v>
    <v>en-US</v>
    <v>d62dd683-9cf9-4db9-a497-d810d529592b</v>
    <v>536870912</v>
    <v>1</v>
    <v>80</v>
    <v>81</v>
    <v>Maine</v>
    <v>7</v>
    <v>8</v>
    <v>Map</v>
    <v>9</v>
    <v>82</v>
    <v>US-ME</v>
    <v>503</v>
    <v>504</v>
    <v>505</v>
    <v>4</v>
    <v>Maine is a state in the New England region of the United States, and the northeastern most state in the Lower 48. It borders New Hampshire to the west, the Gulf of Maine to the southeast, and the Canadian provinces of New Brunswick and Quebec to ...</v>
    <v>506</v>
    <v>507</v>
    <v>508</v>
    <v>509</v>
    <v>513</v>
    <v>514</v>
    <v>515</v>
    <v>516</v>
    <v>347</v>
    <v>Maine</v>
    <v>517</v>
    <v>518</v>
    <v>171</v>
    <v>519</v>
    <v>23</v>
    <v>520</v>
    <v>521</v>
    <v>24</v>
    <v>27</v>
    <v>522</v>
    <v>33</v>
    <v>523</v>
    <v>524</v>
    <v>21</v>
    <v>525</v>
    <v>526</v>
    <v>527</v>
    <v>210</v>
    <v>Maine</v>
    <v>mdp/vdpid/19840</v>
  </rv>
  <rv s="0">
    <v>536870912</v>
    <v>Maryland</v>
    <v>4c472f4d-06a8-4d90-8bb8-da4d168c73fe</v>
    <v>en-US</v>
    <v>Map</v>
  </rv>
  <rv s="1">
    <fb>32131</fb>
    <v>11</v>
  </rv>
  <rv s="1">
    <fb>17044</fb>
    <v>11</v>
  </rv>
  <rv s="0">
    <v>536870912</v>
    <v>Annapolis, Maryland</v>
    <v>5c1c2452-fad3-09a7-1bd5-bafdf1acf665</v>
    <v>en-US</v>
    <v>Map</v>
  </rv>
  <rv s="1">
    <fb>2166389</fb>
    <v>11</v>
  </rv>
  <rv s="1">
    <fb>2447127</fb>
    <v>11</v>
  </rv>
  <rv s="2">
    <v>17</v>
    <v>9</v>
    <v>83</v>
    <v>7</v>
    <v>0</v>
    <v>Image of Maryland</v>
  </rv>
  <rv s="0">
    <v>536870912</v>
    <v>Baltimore</v>
    <v>ee720710-86f4-43c1-914a-9e12af6cb368</v>
    <v>en-US</v>
    <v>Map</v>
  </rv>
  <rv s="0">
    <v>805306368</v>
    <v>Wes Moore (Governor)</v>
    <v>061797ca-ac16-c2b9-5af5-fc8b9f70c021</v>
    <v>en-US</v>
    <v>Generic</v>
  </rv>
  <rv s="0">
    <v>805306368</v>
    <v>Aruna Miller (Lieutenant governor)</v>
    <v>4a11c83c-3bfa-1c3b-dcfb-99dd4e08405b</v>
    <v>en-US</v>
    <v>Generic</v>
  </rv>
  <rv s="0">
    <v>805306368</v>
    <v>Chris Van Hollen (Senate)</v>
    <v>6a847e3b-fae5-cf26-44fb-8c8c4cd3cfb6</v>
    <v>en-US</v>
    <v>Generic</v>
  </rv>
  <rv s="0">
    <v>805306368</v>
    <v>Angela Alsobrooks (Senate)</v>
    <v>6ab8fe80-cdc2-cc10-1bb8-27cea416baf6</v>
    <v>en-US</v>
    <v>Generic</v>
  </rv>
  <rv s="3">
    <v>27</v>
  </rv>
  <rv s="4">
    <v>https://www.bing.com/search?q=maryland&amp;form=skydnc</v>
    <v>Learn more on Bing</v>
  </rv>
  <rv s="1">
    <fb>1230</fb>
    <v>12</v>
  </rv>
  <rv s="1">
    <fb>74551</fb>
    <v>12</v>
  </rv>
  <rv s="1">
    <fb>286900</fb>
    <v>12</v>
  </rv>
  <rv s="1">
    <fb>2.67</fb>
    <v>13</v>
  </rv>
  <rv s="1">
    <fb>6263220</fb>
    <v>11</v>
  </rv>
  <rv s="1">
    <fb>0.14099999999999999</fb>
    <v>14</v>
  </rv>
  <rv s="1">
    <fb>0.379</fb>
    <v>14</v>
  </rv>
  <rv s="1">
    <fb>0.30499999999999999</fb>
    <v>14</v>
  </rv>
  <rv s="1">
    <fb>0.14499999999999999</fb>
    <v>14</v>
  </rv>
  <rv s="1">
    <fb>0.89400000000000002</fb>
    <v>14</v>
  </rv>
  <rv s="1">
    <fb>9.5000000000000001E-2</fb>
    <v>14</v>
  </rv>
  <rv s="1">
    <fb>0.67900000000000005</fb>
    <v>14</v>
  </rv>
  <rv s="1">
    <fb>0.59599999999999997</fb>
    <v>14</v>
  </rv>
  <rv s="6">
    <v>#VALUE!</v>
    <v>en-US</v>
    <v>4c472f4d-06a8-4d90-8bb8-da4d168c73fe</v>
    <v>536870912</v>
    <v>1</v>
    <v>86</v>
    <v>36</v>
    <v>Maryland</v>
    <v>7</v>
    <v>8</v>
    <v>Map</v>
    <v>9</v>
    <v>10</v>
    <v>US-MD</v>
    <v>530</v>
    <v>531</v>
    <v>532</v>
    <v>4</v>
    <v>Maryland is a state in the Mid-Atlantic and South Atlantic regions of the United States, per the nation's Labor and Commerce departments. It borders the states of Virginia to its south, West Virginia to its west, Pennsylvania to its north, ...</v>
    <v>533</v>
    <v>534</v>
    <v>535</v>
    <v>536</v>
    <v>541</v>
    <v>542</v>
    <v>543</v>
    <v>544</v>
    <v>545</v>
    <v>Maryland</v>
    <v>546</v>
    <v>547</v>
    <v>29</v>
    <v>548</v>
    <v>351</v>
    <v>132</v>
    <v>549</v>
    <v>550</v>
    <v>551</v>
    <v>552</v>
    <v>553</v>
    <v>554</v>
    <v>31</v>
    <v>206</v>
    <v>69</v>
    <v>234</v>
    <v>322</v>
    <v>555</v>
    <v>210</v>
    <v>Maryland</v>
    <v>mdp/vdpid/20487</v>
  </rv>
  <rv s="0">
    <v>536870912</v>
    <v>Massachusetts</v>
    <v>845219d5-3650-4199-b926-964ca27c863c</v>
    <v>en-US</v>
    <v>Map</v>
  </rv>
  <rv s="1">
    <fb>27336</fb>
    <v>11</v>
  </rv>
  <rv s="1">
    <fb>16288</fb>
    <v>11</v>
  </rv>
  <rv s="0">
    <v>536870912</v>
    <v>Boston</v>
    <v>f0f5899a-361f-4fe4-89d1-11130aa2c653</v>
    <v>en-US</v>
    <v>Map</v>
  </rv>
  <rv s="1">
    <fb>2549721</fb>
    <v>11</v>
  </rv>
  <rv s="1">
    <fb>2858026</fb>
    <v>11</v>
  </rv>
  <rv s="2">
    <v>18</v>
    <v>9</v>
    <v>87</v>
    <v>7</v>
    <v>0</v>
    <v>Image of Massachusetts</v>
  </rv>
  <rv s="0">
    <v>805306368</v>
    <v>Maura Healey (Governor)</v>
    <v>16f75b4a-61cd-c874-f8be-b832c93cc2f9</v>
    <v>en-US</v>
    <v>Generic</v>
  </rv>
  <rv s="0">
    <v>805306368</v>
    <v>Kim Driscoll (Lieutenant governor)</v>
    <v>49e728c3-181d-48d9-8e7d-8c9fef062e0e</v>
    <v>en-US</v>
    <v>Generic</v>
  </rv>
  <rv s="0">
    <v>805306368</v>
    <v>Elizabeth Warren (Senate)</v>
    <v>8c35b43e-b645-d791-7a5c-305ebcc23f83</v>
    <v>en-US</v>
    <v>Generic</v>
  </rv>
  <rv s="0">
    <v>805306368</v>
    <v>Ed Markey (Senate)</v>
    <v>a9ec6fce-5147-02f1-0a7e-53c0f484c57c</v>
    <v>en-US</v>
    <v>Generic</v>
  </rv>
  <rv s="3">
    <v>28</v>
  </rv>
  <rv s="4">
    <v>https://www.bing.com/search?q=massachusetts&amp;form=skydnc</v>
    <v>Learn more on Bing</v>
  </rv>
  <rv s="1">
    <fb>1102</fb>
    <v>12</v>
  </rv>
  <rv s="1">
    <fb>68563</fb>
    <v>12</v>
  </rv>
  <rv s="1">
    <fb>333100</fb>
    <v>12</v>
  </rv>
  <rv s="1">
    <fb>7136171</fb>
    <v>11</v>
  </rv>
  <rv s="1">
    <fb>6.6000000000000003E-2</fb>
    <v>14</v>
  </rv>
  <rv s="1">
    <fb>0.40500000000000003</fb>
    <v>14</v>
  </rv>
  <rv s="1">
    <fb>0.155</fb>
    <v>14</v>
  </rv>
  <rv s="1">
    <fb>0.89800000000000002</fb>
    <v>14</v>
  </rv>
  <rv s="1">
    <fb>0.11199999999999999</fb>
    <v>14</v>
  </rv>
  <rv s="1">
    <fb>0.67500000000000004</fb>
    <v>14</v>
  </rv>
  <rv s="1">
    <fb>0.20399999999999999</fb>
    <v>14</v>
  </rv>
  <rv s="1">
    <fb>0.82099999999999995</fb>
    <v>14</v>
  </rv>
  <rv s="5">
    <v>#VALUE!</v>
    <v>en-US</v>
    <v>845219d5-3650-4199-b926-964ca27c863c</v>
    <v>536870912</v>
    <v>1</v>
    <v>90</v>
    <v>5</v>
    <v>Massachusetts</v>
    <v>7</v>
    <v>8</v>
    <v>Map</v>
    <v>9</v>
    <v>10</v>
    <v>US-MA</v>
    <v>558</v>
    <v>559</v>
    <v>560</v>
    <v>4</v>
    <v>Massachusetts, officially the Commonwealth of Massachusetts, is a state in the New England region of the Northeastern United States. It borders the Atlantic Ocean and Gulf of Maine to its east, Connecticut and Rhode Island to its south, New ...</v>
    <v>561</v>
    <v>562</v>
    <v>563</v>
    <v>560</v>
    <v>568</v>
    <v>569</v>
    <v>570</v>
    <v>571</v>
    <v>572</v>
    <v>Massachusetts</v>
    <v>91</v>
    <v>92</v>
    <v>573</v>
    <v>292</v>
    <v>204</v>
    <v>198</v>
    <v>574</v>
    <v>575</v>
    <v>57</v>
    <v>576</v>
    <v>577</v>
    <v>578</v>
    <v>579</v>
    <v>31</v>
    <v>412</v>
    <v>326</v>
    <v>580</v>
    <v>127</v>
    <v>581</v>
    <v>210</v>
    <v>Massachusetts</v>
    <v>mdp/vdpid/20543</v>
  </rv>
  <rv s="0">
    <v>536870912</v>
    <v>Michigan</v>
    <v>162411c2-b757-495d-aa81-93942fae2f7e</v>
    <v>en-US</v>
    <v>Map</v>
  </rv>
  <rv s="1">
    <fb>250493</fb>
    <v>11</v>
  </rv>
  <rv s="1">
    <fb>20408</fb>
    <v>11</v>
  </rv>
  <rv s="0">
    <v>536870912</v>
    <v>Lansing, Michigan</v>
    <v>f72f32c4-1da0-4657-9366-ff9fa67191cd</v>
    <v>en-US</v>
    <v>Map</v>
  </rv>
  <rv s="1">
    <fb>3841148</fb>
    <v>11</v>
  </rv>
  <rv s="1">
    <fb>4560055</fb>
    <v>11</v>
  </rv>
  <rv s="2">
    <v>19</v>
    <v>9</v>
    <v>91</v>
    <v>7</v>
    <v>0</v>
    <v>Image of Michigan</v>
  </rv>
  <rv s="0">
    <v>536870912</v>
    <v>Detroit</v>
    <v>85910f05-3dc5-436a-85db-fe5802c27206</v>
    <v>en-US</v>
    <v>Map</v>
  </rv>
  <rv s="0">
    <v>805306368</v>
    <v>Gretchen Whitmer (Governor)</v>
    <v>f6d1e9db-75f6-c594-7272-dd636d3f4ad3</v>
    <v>en-US</v>
    <v>Generic</v>
  </rv>
  <rv s="0">
    <v>805306368</v>
    <v>Garlin Gilchrist (Lieutenant governor)</v>
    <v>d8f5ba75-ec82-cc25-7294-3463565f1b51</v>
    <v>en-US</v>
    <v>Generic</v>
  </rv>
  <rv s="0">
    <v>805306368</v>
    <v>Gary Peters (Senate)</v>
    <v>1c5d76fc-da74-8c31-948e-7a8f6da3076a</v>
    <v>en-US</v>
    <v>Generic</v>
  </rv>
  <rv s="0">
    <v>805306368</v>
    <v>Elissa Slotkin (Senate)</v>
    <v>56f25db1-c482-d5c7-4b24-facdadf2d0e2</v>
    <v>en-US</v>
    <v>Generic</v>
  </rv>
  <rv s="3">
    <v>29</v>
  </rv>
  <rv s="4">
    <v>https://www.bing.com/search?q=michigan&amp;form=skydnc</v>
    <v>Learn more on Bing</v>
  </rv>
  <rv s="1">
    <fb>783</fb>
    <v>12</v>
  </rv>
  <rv s="1">
    <fb>49576</fb>
    <v>12</v>
  </rv>
  <rv s="1">
    <fb>122400</fb>
    <v>12</v>
  </rv>
  <rv s="1">
    <fb>2.52</fb>
    <v>13</v>
  </rv>
  <rv s="1">
    <fb>10140459</fb>
    <v>11</v>
  </rv>
  <rv s="1">
    <fb>4.0000000000000001E-3</fb>
    <v>14</v>
  </rv>
  <rv s="1">
    <fb>0.03</fb>
    <v>14</v>
  </rv>
  <rv s="1">
    <fb>0.26899999999999996</fb>
    <v>14</v>
  </rv>
  <rv s="1">
    <fb>0.89599999999999991</fb>
    <v>14</v>
  </rv>
  <rv s="1">
    <fb>0.61199999999999999</fb>
    <v>14</v>
  </rv>
  <rv s="1">
    <fb>0.10300000000000001</fb>
    <v>14</v>
  </rv>
  <rv s="1">
    <fb>0.222</fb>
    <v>14</v>
  </rv>
  <rv s="1">
    <fb>5.7999999999999996E-2</fb>
    <v>14</v>
  </rv>
  <rv s="1">
    <fb>0.79700000000000004</fb>
    <v>14</v>
  </rv>
  <rv s="7">
    <v>#VALUE!</v>
    <v>en-US</v>
    <v>162411c2-b757-495d-aa81-93942fae2f7e</v>
    <v>536870912</v>
    <v>1</v>
    <v>94</v>
    <v>81</v>
    <v>Michigan</v>
    <v>7</v>
    <v>8</v>
    <v>Map</v>
    <v>9</v>
    <v>82</v>
    <v>US-MI</v>
    <v>584</v>
    <v>585</v>
    <v>586</v>
    <v>4</v>
    <v>Michigan is a peninsular state in the Great Lakes region of the Upper Midwestern United States. It shares water and land boundaries with Minnesota to the northwest, Wisconsin to the west, Indiana and Illinois to the southwest, Ohio to the ...</v>
    <v>587</v>
    <v>588</v>
    <v>589</v>
    <v>590</v>
    <v>595</v>
    <v>596</v>
    <v>597</v>
    <v>598</v>
    <v>599</v>
    <v>Michigan</v>
    <v>600</v>
    <v>601</v>
    <v>602</v>
    <v>197</v>
    <v>23</v>
    <v>603</v>
    <v>604</v>
    <v>350</v>
    <v>71</v>
    <v>605</v>
    <v>526</v>
    <v>606</v>
    <v>607</v>
    <v>326</v>
    <v>608</v>
    <v>609</v>
    <v>610</v>
    <v>271</v>
    <v>Michigan</v>
    <v>mdp/vdpid/21196</v>
  </rv>
  <rv s="0">
    <v>536870912</v>
    <v>Minnesota</v>
    <v>77f97f6f-7e93-46e5-b486-6198effe8dea</v>
    <v>en-US</v>
    <v>Map</v>
  </rv>
  <rv s="1">
    <fb>225163</fb>
    <v>11</v>
  </rv>
  <rv s="1">
    <fb>21449</fb>
    <v>11</v>
  </rv>
  <rv s="0">
    <v>536870912</v>
    <v>Saint Paul, Minnesota</v>
    <v>1cc78952-7fdf-3532-7f33-51048c23af61</v>
    <v>en-US</v>
    <v>Map</v>
  </rv>
  <rv s="1">
    <fb>2124745</fb>
    <v>11</v>
  </rv>
  <rv s="1">
    <fb>2409935</fb>
    <v>11</v>
  </rv>
  <rv s="2">
    <v>20</v>
    <v>9</v>
    <v>95</v>
    <v>7</v>
    <v>0</v>
    <v>Image of Minnesota</v>
  </rv>
  <rv s="0">
    <v>536870912</v>
    <v>Minneapolis</v>
    <v>def03125-42ba-47cd-8061-ee55f5c63e67</v>
    <v>en-US</v>
    <v>Map</v>
  </rv>
  <rv s="0">
    <v>805306368</v>
    <v>Tim Walz (Governor)</v>
    <v>f38cda49-b64f-17fd-7bee-8b4b8615e92e</v>
    <v>en-US</v>
    <v>Generic</v>
  </rv>
  <rv s="0">
    <v>805306368</v>
    <v>Peggy Flanagan (Lieutenant governor)</v>
    <v>cf730391-3139-9782-b8cc-c66b64347b03</v>
    <v>en-US</v>
    <v>Generic</v>
  </rv>
  <rv s="0">
    <v>805306368</v>
    <v>Amy Klobuchar (Senate)</v>
    <v>a294ff47-10a7-8131-50f3-95c593398b45</v>
    <v>en-US</v>
    <v>Generic</v>
  </rv>
  <rv s="0">
    <v>805306368</v>
    <v>Tina Smith (Senate)</v>
    <v>44d231cd-8a99-36a8-9eca-f8421ec955dd</v>
    <v>en-US</v>
    <v>Generic</v>
  </rv>
  <rv s="3">
    <v>30</v>
  </rv>
  <rv s="4">
    <v>https://www.bing.com/search?q=minnesota&amp;form=skydnc</v>
    <v>Learn more on Bing</v>
  </rv>
  <rv s="1">
    <fb>848</fb>
    <v>12</v>
  </rv>
  <rv s="1">
    <fb>61492</fb>
    <v>12</v>
  </rv>
  <rv s="1">
    <fb>186200</fb>
    <v>12</v>
  </rv>
  <rv s="1">
    <fb>2.4900000000000002</fb>
    <v>13</v>
  </rv>
  <rv s="1">
    <fb>5793151</fb>
    <v>11</v>
  </rv>
  <rv s="1">
    <fb>4.0999999999999995E-2</fb>
    <v>14</v>
  </rv>
  <rv s="1">
    <fb>1.3000000000000001E-2</fb>
    <v>15</v>
  </rv>
  <rv s="1">
    <fb>0.33700000000000002</fb>
    <v>14</v>
  </rv>
  <rv s="1">
    <fb>7.6999999999999999E-2</fb>
    <v>14</v>
  </rv>
  <rv s="1">
    <fb>0.92400000000000004</fb>
    <v>14</v>
  </rv>
  <rv s="1">
    <fb>0.7</fb>
    <v>14</v>
  </rv>
  <rv s="1">
    <fb>0.23399999999999999</fb>
    <v>14</v>
  </rv>
  <rv s="6">
    <v>#VALUE!</v>
    <v>en-US</v>
    <v>77f97f6f-7e93-46e5-b486-6198effe8dea</v>
    <v>536870912</v>
    <v>1</v>
    <v>98</v>
    <v>36</v>
    <v>Minnesota</v>
    <v>7</v>
    <v>8</v>
    <v>Map</v>
    <v>9</v>
    <v>10</v>
    <v>US-MN</v>
    <v>613</v>
    <v>614</v>
    <v>615</v>
    <v>4</v>
    <v>Minnesota is a state in the Upper Midwestern region of the United States. It is bordered by the Canadian provinces of Manitoba and Ontario to the north and east and by the U.S. states of Wisconsin to the east, Iowa to the south, and North Dakota ...</v>
    <v>616</v>
    <v>617</v>
    <v>618</v>
    <v>619</v>
    <v>624</v>
    <v>625</v>
    <v>626</v>
    <v>627</v>
    <v>628</v>
    <v>Minnesota</v>
    <v>629</v>
    <v>630</v>
    <v>631</v>
    <v>130</v>
    <v>632</v>
    <v>526</v>
    <v>633</v>
    <v>35</v>
    <v>634</v>
    <v>635</v>
    <v>208</v>
    <v>636</v>
    <v>31</v>
    <v>206</v>
    <v>408</v>
    <v>637</v>
    <v>105</v>
    <v>295</v>
    <v>37</v>
    <v>Minnesota</v>
    <v>mdp/vdpid/21412</v>
  </rv>
  <rv s="0">
    <v>536870912</v>
    <v>Mississippi</v>
    <v>6af619ca-217d-49c0-9a86-153fc7fbcd78</v>
    <v>en-US</v>
    <v>Map</v>
  </rv>
  <rv s="1">
    <fb>125443</fb>
    <v>11</v>
  </rv>
  <rv s="1">
    <fb>6886</fb>
    <v>11</v>
  </rv>
  <rv s="0">
    <v>536870912</v>
    <v>Jackson, Mississippi</v>
    <v>ed40f72a-f28d-48a5-887c-e021839859d4</v>
    <v>en-US</v>
    <v>Map</v>
  </rv>
  <rv s="1">
    <fb>1096593</fb>
    <v>11</v>
  </rv>
  <rv s="1">
    <fb>1307441</fb>
    <v>11</v>
  </rv>
  <rv s="2">
    <v>21</v>
    <v>9</v>
    <v>99</v>
    <v>7</v>
    <v>0</v>
    <v>Image of Mississippi</v>
  </rv>
  <rv s="0">
    <v>805306368</v>
    <v>Tate Reeves (Governor)</v>
    <v>1213e585-32e8-e04c-eea2-e80c2d44dde8</v>
    <v>en-US</v>
    <v>Generic</v>
  </rv>
  <rv s="0">
    <v>805306368</v>
    <v>Delbert Hosemann (Lieutenant governor)</v>
    <v>babf7478-24bf-5e4a-6287-b982d6af7dc4</v>
    <v>en-US</v>
    <v>Generic</v>
  </rv>
  <rv s="0">
    <v>805306368</v>
    <v>Roger Wicker (Senate)</v>
    <v>2d19585a-277f-194b-9f54-3a511aeb0a33</v>
    <v>en-US</v>
    <v>Generic</v>
  </rv>
  <rv s="0">
    <v>805306368</v>
    <v>Cindy Hyde-Smith (Senate)</v>
    <v>3b271dfc-d5b2-6146-3047-72e8f0798b1b</v>
    <v>en-US</v>
    <v>Generic</v>
  </rv>
  <rv s="3">
    <v>31</v>
  </rv>
  <rv s="4">
    <v>https://www.bing.com/search?q=mississippi&amp;form=skydnc</v>
    <v>Learn more on Bing</v>
  </rv>
  <rv s="1">
    <fb>39665</fb>
    <v>12</v>
  </rv>
  <rv s="1">
    <fb>103100</fb>
    <v>12</v>
  </rv>
  <rv s="1">
    <fb>2.64</fb>
    <v>13</v>
  </rv>
  <rv s="1">
    <fb>2943045</fb>
    <v>11</v>
  </rv>
  <rv s="1">
    <fb>6.9999999999999993E-3</fb>
    <v>14</v>
  </rv>
  <rv s="1">
    <fb>1.1000000000000001E-2</fb>
    <v>14</v>
  </rv>
  <rv s="1">
    <fb>0.20699999999999999</fb>
    <v>14</v>
  </rv>
  <rv s="1">
    <fb>0.82299999999999995</fb>
    <v>14</v>
  </rv>
  <rv s="1">
    <fb>3.1E-2</fb>
    <v>14</v>
  </rv>
  <rv s="1">
    <fb>0.57499999999999996</fb>
    <v>14</v>
  </rv>
  <rv s="1">
    <fb>0.24299999999999999</fb>
    <v>14</v>
  </rv>
  <rv s="1">
    <fb>0.59499999999999997</fb>
    <v>14</v>
  </rv>
  <rv s="5">
    <v>#VALUE!</v>
    <v>en-US</v>
    <v>6af619ca-217d-49c0-9a86-153fc7fbcd78</v>
    <v>536870912</v>
    <v>1</v>
    <v>102</v>
    <v>5</v>
    <v>Mississippi</v>
    <v>7</v>
    <v>8</v>
    <v>Map</v>
    <v>9</v>
    <v>10</v>
    <v>US-MS</v>
    <v>640</v>
    <v>641</v>
    <v>642</v>
    <v>4</v>
    <v>Mississippi is a state in the Southeastern region of the United States. It borders Tennessee to the north, Alabama to the east, the Gulf of Mexico to the south, Louisiana to the southwest, and Arkansas to the northwest. Mississippi's western ...</v>
    <v>643</v>
    <v>644</v>
    <v>645</v>
    <v>642</v>
    <v>650</v>
    <v>651</v>
    <v>15</v>
    <v>652</v>
    <v>653</v>
    <v>Mississippi</v>
    <v>18</v>
    <v>654</v>
    <v>655</v>
    <v>656</v>
    <v>130</v>
    <v>351</v>
    <v>657</v>
    <v>658</v>
    <v>200</v>
    <v>326</v>
    <v>659</v>
    <v>660</v>
    <v>661</v>
    <v>31</v>
    <v>524</v>
    <v>520</v>
    <v>662</v>
    <v>105</v>
    <v>663</v>
    <v>37</v>
    <v>Mississippi</v>
    <v>mdp/vdpid/21502</v>
  </rv>
  <rv s="0">
    <v>536870912</v>
    <v>Missouri</v>
    <v>6185f8cb-44e1-4da6-9bf0-b75286aeb591</v>
    <v>en-US</v>
    <v>Map</v>
  </rv>
  <rv s="1">
    <fb>181533</fb>
    <v>11</v>
  </rv>
  <rv s="1">
    <fb>18997</fb>
    <v>11</v>
  </rv>
  <rv s="0">
    <v>536870912</v>
    <v>Jefferson City, Missouri</v>
    <v>81535f0b-c6a8-d0ca-9542-f43e51dc1f18</v>
    <v>en-US</v>
    <v>Map</v>
  </rv>
  <rv s="1">
    <fb>2364688</fb>
    <v>11</v>
  </rv>
  <rv s="1">
    <fb>2760084</fb>
    <v>11</v>
  </rv>
  <rv s="2">
    <v>22</v>
    <v>9</v>
    <v>103</v>
    <v>7</v>
    <v>0</v>
    <v>Image of Missouri</v>
  </rv>
  <rv s="0">
    <v>536870912</v>
    <v>Kansas City, Missouri</v>
    <v>5b93ac88-7242-4198-8c11-93854400c8d7</v>
    <v>en-US</v>
    <v>Map</v>
  </rv>
  <rv s="0">
    <v>805306368</v>
    <v>Mike Kehoe (Governor)</v>
    <v>b2f50b37-ce14-c873-e2df-fd5943b7c015</v>
    <v>en-US</v>
    <v>Generic</v>
  </rv>
  <rv s="0">
    <v>805306368</v>
    <v>David Wasinger (Lieutenant governor)</v>
    <v>6010c711-8e35-e9ac-e4bc-03bd2b421f62</v>
    <v>en-US</v>
    <v>Generic</v>
  </rv>
  <rv s="0">
    <v>805306368</v>
    <v>Josh Hawley (Senate)</v>
    <v>0709c075-3a21-a282-0ce8-ebac38b987b2</v>
    <v>en-US</v>
    <v>Generic</v>
  </rv>
  <rv s="0">
    <v>805306368</v>
    <v>Eric Schmitt (Senate)</v>
    <v>caf9e43d-c854-9d49-f9db-caf2c6a3cf41</v>
    <v>en-US</v>
    <v>Generic</v>
  </rv>
  <rv s="3">
    <v>32</v>
  </rv>
  <rv s="4">
    <v>https://www.bing.com/search?q=missouri&amp;form=skydnc</v>
    <v>Learn more on Bing</v>
  </rv>
  <rv s="1">
    <fb>746</fb>
    <v>12</v>
  </rv>
  <rv s="1">
    <fb>48173</fb>
    <v>12</v>
  </rv>
  <rv s="1">
    <fb>138400</fb>
    <v>12</v>
  </rv>
  <rv s="1">
    <fb>2.48</fb>
    <v>13</v>
  </rv>
  <rv s="1">
    <fb>6245466</fb>
    <v>11</v>
  </rv>
  <rv s="1">
    <fb>0.27100000000000002</fb>
    <v>14</v>
  </rv>
  <rv s="1">
    <fb>0.10400000000000001</fb>
    <v>14</v>
  </rv>
  <rv s="1">
    <fb>0.83299999999999996</fb>
    <v>14</v>
  </rv>
  <rv s="5">
    <v>#VALUE!</v>
    <v>en-US</v>
    <v>6185f8cb-44e1-4da6-9bf0-b75286aeb591</v>
    <v>536870912</v>
    <v>1</v>
    <v>106</v>
    <v>5</v>
    <v>Missouri</v>
    <v>7</v>
    <v>8</v>
    <v>Map</v>
    <v>9</v>
    <v>10</v>
    <v>US-MO</v>
    <v>666</v>
    <v>667</v>
    <v>668</v>
    <v>4</v>
    <v>Missouri is a state in the Midwestern region of the United States. Ranking 21st in land area, it borders Iowa to the north, Illinois, Kentucky and Tennessee to the east, Arkansas to the south and Oklahoma, Kansas, and Nebraska to the west. In ...</v>
    <v>669</v>
    <v>670</v>
    <v>671</v>
    <v>672</v>
    <v>677</v>
    <v>678</v>
    <v>679</v>
    <v>680</v>
    <v>681</v>
    <v>Missouri</v>
    <v>18</v>
    <v>682</v>
    <v>683</v>
    <v>21</v>
    <v>22</v>
    <v>351</v>
    <v>103</v>
    <v>684</v>
    <v>32</v>
    <v>232</v>
    <v>236</v>
    <v>631</v>
    <v>500</v>
    <v>31</v>
    <v>685</v>
    <v>207</v>
    <v>469</v>
    <v>174</v>
    <v>686</v>
    <v>37</v>
    <v>Missouri</v>
    <v>mdp/vdpid/21512</v>
  </rv>
  <rv s="0">
    <v>536870912</v>
    <v>Montana</v>
    <v>447d6cd5-53f6-4c8f-bf6c-9ff228415c3b</v>
    <v>en-US</v>
    <v>Map</v>
  </rv>
  <rv s="1">
    <fb>381154</fb>
    <v>11</v>
  </rv>
  <rv s="1">
    <fb>4781</fb>
    <v>11</v>
  </rv>
  <rv s="0">
    <v>536870912</v>
    <v>Helena, Montana</v>
    <v>097df9b7-6962-dbe8-2072-661fa4996ede</v>
    <v>en-US</v>
    <v>Map</v>
  </rv>
  <rv s="1">
    <fb>409394</fb>
    <v>11</v>
  </rv>
  <rv s="1">
    <fb>497756</fb>
    <v>11</v>
  </rv>
  <rv s="2">
    <v>23</v>
    <v>9</v>
    <v>107</v>
    <v>7</v>
    <v>0</v>
    <v>Image of Montana</v>
  </rv>
  <rv s="0">
    <v>536870912</v>
    <v>Billings, Montana</v>
    <v>c0f552c6-eaaf-4d0b-806d-6017c2034bbb</v>
    <v>en-US</v>
    <v>Map</v>
  </rv>
  <rv s="0">
    <v>805306368</v>
    <v>Greg Gianforte (Governor)</v>
    <v>d6243525-cd8a-23f1-fe91-bca377dc4fe8</v>
    <v>en-US</v>
    <v>Generic</v>
  </rv>
  <rv s="0">
    <v>805306368</v>
    <v>Kristen Juras (Lieutenant governor)</v>
    <v>17151917-f12f-38da-5ee2-575494f79565</v>
    <v>en-US</v>
    <v>Generic</v>
  </rv>
  <rv s="0">
    <v>805306368</v>
    <v>Steve Daines (Senate)</v>
    <v>e1914ad2-d721-9e6d-119f-293a65a83734</v>
    <v>en-US</v>
    <v>Generic</v>
  </rv>
  <rv s="0">
    <v>805306368</v>
    <v>Tim Sheehy (Senate)</v>
    <v>8686bdc6-b5fa-bd6f-1dd0-50ce3ac82575</v>
    <v>en-US</v>
    <v>Generic</v>
  </rv>
  <rv s="3">
    <v>33</v>
  </rv>
  <rv s="4">
    <v>https://www.bing.com/search?q=montana&amp;form=skydnc</v>
    <v>Learn more on Bing</v>
  </rv>
  <rv s="1">
    <fb>711</fb>
    <v>12</v>
  </rv>
  <rv s="1">
    <fb>47169</fb>
    <v>12</v>
  </rv>
  <rv s="1">
    <fb>193500</fb>
    <v>12</v>
  </rv>
  <rv s="1">
    <fb>2.41</fb>
    <v>13</v>
  </rv>
  <rv s="1">
    <fb>1137233</fb>
    <v>11</v>
  </rv>
  <rv s="1">
    <fb>0.17199999999999999</fb>
    <v>14</v>
  </rv>
  <rv s="1">
    <fb>6.6000000000000003E-2</fb>
    <v>15</v>
  </rv>
  <rv s="1">
    <fb>0.29499999999999998</fb>
    <v>14</v>
  </rv>
  <rv s="1">
    <fb>6.0000000000000001E-3</fb>
    <v>14</v>
  </rv>
  <rv s="1">
    <fb>0.92799999999999994</fb>
    <v>14</v>
  </rv>
  <rv s="1">
    <fb>3.6000000000000004E-2</fb>
    <v>14</v>
  </rv>
  <rv s="1">
    <fb>0.63600000000000001</fb>
    <v>14</v>
  </rv>
  <rv s="1">
    <fb>9.0999999999999998E-2</fb>
    <v>14</v>
  </rv>
  <rv s="1">
    <fb>0.21899999999999997</fb>
    <v>14</v>
  </rv>
  <rv s="1">
    <fb>0.89200000000000002</fb>
    <v>14</v>
  </rv>
  <rv s="5">
    <v>#VALUE!</v>
    <v>en-US</v>
    <v>447d6cd5-53f6-4c8f-bf6c-9ff228415c3b</v>
    <v>536870912</v>
    <v>1</v>
    <v>110</v>
    <v>5</v>
    <v>Montana</v>
    <v>7</v>
    <v>8</v>
    <v>Map</v>
    <v>9</v>
    <v>10</v>
    <v>US-MT</v>
    <v>689</v>
    <v>690</v>
    <v>691</v>
    <v>4</v>
    <v>Montana is a landlocked state in the Mountain West subregion of the Western United States. It borders Idaho to the west, North Dakota to the east, South Dakota to the southeast, Wyoming to the south, and the Canadian provinces of Alberta, ...</v>
    <v>692</v>
    <v>693</v>
    <v>694</v>
    <v>695</v>
    <v>700</v>
    <v>701</v>
    <v>702</v>
    <v>703</v>
    <v>704</v>
    <v>Montana</v>
    <v>18</v>
    <v>705</v>
    <v>706</v>
    <v>127</v>
    <v>707</v>
    <v>708</v>
    <v>321</v>
    <v>709</v>
    <v>710</v>
    <v>380</v>
    <v>711</v>
    <v>712</v>
    <v>713</v>
    <v>31</v>
    <v>714</v>
    <v>69</v>
    <v>715</v>
    <v>35</v>
    <v>716</v>
    <v>176</v>
    <v>Montana</v>
    <v>mdp/vdpid/21789</v>
  </rv>
  <rv s="0">
    <v>536870912</v>
    <v>Nebraska</v>
    <v>3e64ff5d-6b40-4dbe-91b1-0e554e892496</v>
    <v>en-US</v>
    <v>Map</v>
  </rv>
  <rv s="1">
    <fb>200520</fb>
    <v>11</v>
  </rv>
  <rv s="1">
    <fb>8078</fb>
    <v>11</v>
  </rv>
  <rv s="0">
    <v>536870912</v>
    <v>Lincoln, Nebraska</v>
    <v>38974d3e-7769-4d06-b772-31a57932a126</v>
    <v>en-US</v>
    <v>Map</v>
  </rv>
  <rv s="1">
    <fb>736613</fb>
    <v>11</v>
  </rv>
  <rv s="1">
    <fb>827156</fb>
    <v>11</v>
  </rv>
  <rv s="2">
    <v>24</v>
    <v>9</v>
    <v>111</v>
    <v>7</v>
    <v>0</v>
    <v>Image of Nebraska</v>
  </rv>
  <rv s="0">
    <v>536870912</v>
    <v>Omaha, Nebraska</v>
    <v>3e9b5a28-f96c-420a-8065-6b1bd5aba459</v>
    <v>en-US</v>
    <v>Map</v>
  </rv>
  <rv s="0">
    <v>805306368</v>
    <v>Jim Pillen (Governor)</v>
    <v>d609858d-2007-ee0a-defb-14ae1c2ab4d3</v>
    <v>en-US</v>
    <v>Generic</v>
  </rv>
  <rv s="0">
    <v>805306368</v>
    <v>Joe Kelly (Lieutenant governor)</v>
    <v>f92108f4-90b9-9d3b-9c97-08750cd4d3ee</v>
    <v>en-US</v>
    <v>Generic</v>
  </rv>
  <rv s="0">
    <v>805306368</v>
    <v>Deb Fischer (Senate)</v>
    <v>f5e75ca0-d749-2530-45f3-da6ea135796e</v>
    <v>en-US</v>
    <v>Generic</v>
  </rv>
  <rv s="0">
    <v>805306368</v>
    <v>Pete Ricketts (Senate)</v>
    <v>97fb5bd9-8ab3-b066-54d6-344dc18b656e</v>
    <v>en-US</v>
    <v>Generic</v>
  </rv>
  <rv s="3">
    <v>34</v>
  </rv>
  <rv s="4">
    <v>https://www.bing.com/search?q=nebraska&amp;form=skydnc</v>
    <v>Learn more on Bing</v>
  </rv>
  <rv s="1">
    <fb>726</fb>
    <v>12</v>
  </rv>
  <rv s="1">
    <fb>52997</fb>
    <v>12</v>
  </rv>
  <rv s="1">
    <fb>133200</fb>
    <v>12</v>
  </rv>
  <rv s="1">
    <fb>2.4700000000000002</fb>
    <v>13</v>
  </rv>
  <rv s="1">
    <fb>2005465</fb>
    <v>11</v>
  </rv>
  <rv s="1">
    <fb>4.4000000000000004E-2</fb>
    <v>14</v>
  </rv>
  <rv s="1">
    <fb>1.3999999999999999E-2</fb>
    <v>15</v>
  </rv>
  <rv s="1">
    <fb>0.29299999999999998</fb>
    <v>14</v>
  </rv>
  <rv s="1">
    <fb>0.69900000000000007</fb>
    <v>14</v>
  </rv>
  <rv s="1">
    <fb>7.2999999999999995E-2</fb>
    <v>14</v>
  </rv>
  <rv s="1">
    <fb>0.248</fb>
    <v>14</v>
  </rv>
  <rv s="1">
    <fb>0.8909999999999999</fb>
    <v>14</v>
  </rv>
  <rv s="5">
    <v>#VALUE!</v>
    <v>en-US</v>
    <v>3e64ff5d-6b40-4dbe-91b1-0e554e892496</v>
    <v>536870912</v>
    <v>1</v>
    <v>114</v>
    <v>5</v>
    <v>Nebraska</v>
    <v>7</v>
    <v>8</v>
    <v>Map</v>
    <v>9</v>
    <v>10</v>
    <v>US-NE</v>
    <v>719</v>
    <v>720</v>
    <v>721</v>
    <v>4</v>
    <v>Nebraska is a landlocked state in the Midwestern region of the United States. It borders South Dakota to the north; Iowa to the east and Missouri to the southeast, both across the Missouri River; Kansas to the south; Colorado to the southwest; ...</v>
    <v>722</v>
    <v>723</v>
    <v>724</v>
    <v>725</v>
    <v>730</v>
    <v>731</v>
    <v>732</v>
    <v>733</v>
    <v>734</v>
    <v>Nebraska</v>
    <v>18</v>
    <v>735</v>
    <v>736</v>
    <v>737</v>
    <v>130</v>
    <v>738</v>
    <v>326</v>
    <v>739</v>
    <v>497</v>
    <v>574</v>
    <v>168</v>
    <v>685</v>
    <v>740</v>
    <v>31</v>
    <v>741</v>
    <v>380</v>
    <v>742</v>
    <v>436</v>
    <v>743</v>
    <v>176</v>
    <v>Nebraska</v>
    <v>mdp/vdpid/22869</v>
  </rv>
  <rv s="0">
    <v>536870912</v>
    <v>Nevada</v>
    <v>c2157d7e-617e-4517-80f8-1b08113afc14</v>
    <v>en-US</v>
    <v>Map</v>
  </rv>
  <rv s="1">
    <fb>286380</fb>
    <v>11</v>
  </rv>
  <rv s="1">
    <fb>17952</fb>
    <v>11</v>
  </rv>
  <rv s="0">
    <v>536870912</v>
    <v>Carson City, Nevada</v>
    <v>f0c7f70e-d0c0-8645-b649-8550dc083057</v>
    <v>en-US</v>
    <v>Map</v>
  </rv>
  <rv s="1">
    <fb>1016709</fb>
    <v>11</v>
  </rv>
  <rv s="1">
    <fb>1221698</fb>
    <v>11</v>
  </rv>
  <rv s="2">
    <v>25</v>
    <v>9</v>
    <v>115</v>
    <v>7</v>
    <v>0</v>
    <v>Image of Nevada</v>
  </rv>
  <rv s="0">
    <v>536870912</v>
    <v>Las Vegas</v>
    <v>26dfb75a-3573-4ff8-bbb3-b8cadaea23a8</v>
    <v>en-US</v>
    <v>Map</v>
  </rv>
  <rv s="0">
    <v>805306368</v>
    <v>Joe Lombardo (Governor)</v>
    <v>65fbb35a-0e80-cfb3-c7b1-c64105f84476</v>
    <v>en-US</v>
    <v>Generic</v>
  </rv>
  <rv s="0">
    <v>805306368</v>
    <v>Stavros Anthony (Lieutenant governor)</v>
    <v>7faa710d-04ef-671a-5f0d-95ba24654786</v>
    <v>en-US</v>
    <v>Generic</v>
  </rv>
  <rv s="0">
    <v>805306368</v>
    <v>Catherine Cortez Masto (Senate)</v>
    <v>189fb541-01c0-7a3b-1707-d6ebf473b55d</v>
    <v>en-US</v>
    <v>Generic</v>
  </rv>
  <rv s="0">
    <v>805306368</v>
    <v>Jacky Rosen (Senate)</v>
    <v>f74e29f0-6285-515f-55ae-1ce802bf1aa4</v>
    <v>en-US</v>
    <v>Generic</v>
  </rv>
  <rv s="3">
    <v>35</v>
  </rv>
  <rv s="4">
    <v>https://www.bing.com/search?q=nevada&amp;form=skydnc</v>
    <v>Learn more on Bing</v>
  </rv>
  <rv s="1">
    <fb>973</fb>
    <v>12</v>
  </rv>
  <rv s="1">
    <fb>51847</fb>
    <v>12</v>
  </rv>
  <rv s="1">
    <fb>173700</fb>
    <v>12</v>
  </rv>
  <rv s="1">
    <fb>2.72</fb>
    <v>13</v>
  </rv>
  <rv s="1">
    <fb>3267467</fb>
    <v>11</v>
  </rv>
  <rv s="1">
    <fb>8.900000000000001E-2</fb>
    <v>14</v>
  </rv>
  <rv s="1">
    <fb>9.3000000000000013E-2</fb>
    <v>14</v>
  </rv>
  <rv s="1">
    <fb>0.192</fb>
    <v>14</v>
  </rv>
  <rv s="1">
    <fb>0.85099999999999998</fb>
    <v>14</v>
  </rv>
  <rv s="1">
    <fb>0.28100000000000003</fb>
    <v>14</v>
  </rv>
  <rv s="1">
    <fb>0.64</fb>
    <v>14</v>
  </rv>
  <rv s="1">
    <fb>0.23100000000000001</fb>
    <v>14</v>
  </rv>
  <rv s="1">
    <fb>0.75700000000000001</fb>
    <v>14</v>
  </rv>
  <rv s="3">
    <v>36</v>
  </rv>
  <rv s="6">
    <v>#VALUE!</v>
    <v>en-US</v>
    <v>c2157d7e-617e-4517-80f8-1b08113afc14</v>
    <v>536870912</v>
    <v>1</v>
    <v>118</v>
    <v>36</v>
    <v>Nevada</v>
    <v>7</v>
    <v>8</v>
    <v>Map</v>
    <v>9</v>
    <v>10</v>
    <v>US-NV</v>
    <v>746</v>
    <v>747</v>
    <v>748</v>
    <v>4</v>
    <v>Nevada is a landlocked state in the Western United States. It borders Oregon to the northwest, Idaho to the northeast, California to the west, Arizona to the southeast, and Utah to the east. Nevada is the seventh-most extensive, the 32nd-most ...</v>
    <v>749</v>
    <v>750</v>
    <v>751</v>
    <v>752</v>
    <v>757</v>
    <v>758</v>
    <v>759</v>
    <v>760</v>
    <v>761</v>
    <v>Nevada</v>
    <v>762</v>
    <v>763</v>
    <v>764</v>
    <v>378</v>
    <v>163</v>
    <v>238</v>
    <v>173</v>
    <v>765</v>
    <v>766</v>
    <v>767</v>
    <v>768</v>
    <v>769</v>
    <v>321</v>
    <v>237</v>
    <v>631</v>
    <v>770</v>
    <v>322</v>
    <v>771</v>
    <v>772</v>
    <v>Nevada</v>
    <v>mdp/vdpid/23035</v>
  </rv>
  <rv s="0">
    <v>536870912</v>
    <v>New Hampshire</v>
    <v>9ca71997-cc97-46eb-8911-fac32f80b0b1</v>
    <v>en-US</v>
    <v>Map</v>
  </rv>
  <rv s="1">
    <fb>24214</fb>
    <v>11</v>
  </rv>
  <rv s="1">
    <fb>3796</fb>
    <v>11</v>
  </rv>
  <rv s="0">
    <v>536870912</v>
    <v>Concord, New Hampshire</v>
    <v>d65980fb-3dad-44a3-6f66-92662eca6d4f</v>
    <v>en-US</v>
    <v>Map</v>
  </rv>
  <rv s="1">
    <fb>520251</fb>
    <v>11</v>
  </rv>
  <rv s="1">
    <fb>625307</fb>
    <v>11</v>
  </rv>
  <rv s="2">
    <v>26</v>
    <v>9</v>
    <v>119</v>
    <v>7</v>
    <v>0</v>
    <v>Image of New Hampshire</v>
  </rv>
  <rv s="0">
    <v>536870912</v>
    <v>Manchester, New Hampshire</v>
    <v>f86d8a4e-96a6-418e-8b73-417f59efae56</v>
    <v>en-US</v>
    <v>Map</v>
  </rv>
  <rv s="0">
    <v>805306368</v>
    <v>Kelly Ayotte (Governor)</v>
    <v>22e78637-0632-f40b-8a78-3d6b73927e68</v>
    <v>en-US</v>
    <v>Generic</v>
  </rv>
  <rv s="0">
    <v>805306368</v>
    <v>Jeanne Shaheen (Senate)</v>
    <v>c278a5cb-da61-5373-662f-cabd9a88a1d6</v>
    <v>en-US</v>
    <v>Generic</v>
  </rv>
  <rv s="0">
    <v>805306368</v>
    <v>Maggie Hassan (Senate)</v>
    <v>79e38386-9baa-29e2-1c79-c4c02b113213</v>
    <v>en-US</v>
    <v>Generic</v>
  </rv>
  <rv s="3">
    <v>37</v>
  </rv>
  <rv s="4">
    <v>https://www.bing.com/search?q=new+hampshire&amp;form=skydnc</v>
    <v>Learn more on Bing</v>
  </rv>
  <rv s="1">
    <fb>1000</fb>
    <v>12</v>
  </rv>
  <rv s="1">
    <fb>66779</fb>
    <v>12</v>
  </rv>
  <rv s="1">
    <fb>237300</fb>
    <v>12</v>
  </rv>
  <rv s="1">
    <fb>1409032</fb>
    <v>11</v>
  </rv>
  <rv s="1">
    <fb>0.16500000000000001</fb>
    <v>14</v>
  </rv>
  <rv s="1">
    <fb>2.6000000000000002E-2</fb>
    <v>14</v>
  </rv>
  <rv s="1">
    <fb>0.34899999999999998</fb>
    <v>14</v>
  </rv>
  <rv s="1">
    <fb>0.92299999999999993</fb>
    <v>14</v>
  </rv>
  <rv s="1">
    <fb>0.68200000000000005</fb>
    <v>14</v>
  </rv>
  <rv s="1">
    <fb>0.19800000000000001</fb>
    <v>14</v>
  </rv>
  <rv s="1">
    <fb>0.93900000000000006</fb>
    <v>14</v>
  </rv>
  <rv s="8">
    <v>#VALUE!</v>
    <v>en-US</v>
    <v>9ca71997-cc97-46eb-8911-fac32f80b0b1</v>
    <v>536870912</v>
    <v>1</v>
    <v>122</v>
    <v>123</v>
    <v>New Hampshire</v>
    <v>7</v>
    <v>8</v>
    <v>Map</v>
    <v>9</v>
    <v>82</v>
    <v>US-NH</v>
    <v>775</v>
    <v>776</v>
    <v>777</v>
    <v>4</v>
    <v>New Hampshire is a state in the New England region of the Northeastern United States. It borders Massachusetts to the south, Vermont to the west, Maine and the Gulf of Maine to the east, and the Canadian province of Quebec to the north. Of the ...</v>
    <v>778</v>
    <v>779</v>
    <v>780</v>
    <v>781</v>
    <v>785</v>
    <v>786</v>
    <v>787</v>
    <v>788</v>
    <v>789</v>
    <v>New Hampshire</v>
    <v>18</v>
    <v>735</v>
    <v>790</v>
    <v>24</v>
    <v>791</v>
    <v>463</v>
    <v>792</v>
    <v>793</v>
    <v>319</v>
    <v>411</v>
    <v>794</v>
    <v>60</v>
    <v>795</v>
    <v>238</v>
    <v>33</v>
    <v>796</v>
    <v>526</v>
    <v>797</v>
    <v>210</v>
    <v>New Hampshire</v>
    <v>mdp/vdpid/23097</v>
  </rv>
  <rv s="0">
    <v>536870912</v>
    <v>New Jersey</v>
    <v>05277898-b62b-4878-8632-09d29756a2ff</v>
    <v>en-US</v>
    <v>Map</v>
  </rv>
  <rv s="1">
    <fb>22591.4</fb>
    <v>11</v>
  </rv>
  <rv s="1">
    <fb>26793</fb>
    <v>11</v>
  </rv>
  <rv s="0">
    <v>536870912</v>
    <v>Trenton</v>
    <v>6fa8f821-25c7-45dc-ab44-318e7657779c</v>
    <v>en-US</v>
    <v>Map</v>
  </rv>
  <rv s="0">
    <v>536870912</v>
    <v>United States of America</v>
    <v>5232ed96-85b1-2edb-12c6-63e6c597a1de</v>
    <v>en-US</v>
    <v>Map</v>
  </rv>
  <rv s="1">
    <fb>3189486</fb>
    <v>11</v>
  </rv>
  <rv s="1">
    <fb>3604409</fb>
    <v>11</v>
  </rv>
  <rv s="2">
    <v>27</v>
    <v>9</v>
    <v>124</v>
    <v>7</v>
    <v>0</v>
    <v>Image of New Jersey</v>
  </rv>
  <rv s="0">
    <v>536870912</v>
    <v>Newark</v>
    <v>12526fe6-792c-45e6-8124-54fec8a5d9e0</v>
    <v>en-US</v>
    <v>Map</v>
  </rv>
  <rv s="0">
    <v>805306368</v>
    <v>Phil Murphy (Governor)</v>
    <v>5f2e6941-5a52-30bf-801e-af03a8a1c6f8</v>
    <v>en-US</v>
    <v>Generic</v>
  </rv>
  <rv s="3">
    <v>38</v>
  </rv>
  <rv s="4">
    <v>https://www.bing.com/search?q=new+jersey&amp;form=skydnc</v>
    <v>Learn more on Bing</v>
  </rv>
  <rv s="1">
    <fb>1192</fb>
    <v>12</v>
  </rv>
  <rv s="1">
    <fb>72093</fb>
    <v>12</v>
  </rv>
  <rv s="1">
    <fb>315900</fb>
    <v>12</v>
  </rv>
  <rv s="1">
    <fb>9288994</fb>
    <v>11</v>
  </rv>
  <rv s="1">
    <fb>0.15</fb>
    <v>14</v>
  </rv>
  <rv s="1">
    <fb>0.36799999999999999</fb>
    <v>14</v>
  </rv>
  <rv s="1">
    <fb>0.14800000000000002</fb>
    <v>14</v>
  </rv>
  <rv s="1">
    <fb>0.217</fb>
    <v>14</v>
  </rv>
  <rv s="1">
    <fb>0.8859999999999999</fb>
    <v>14</v>
  </rv>
  <rv s="1">
    <fb>0.65900000000000003</fb>
    <v>14</v>
  </rv>
  <rv s="1">
    <fb>0.72599999999999998</fb>
    <v>14</v>
  </rv>
  <rv s="5">
    <v>#VALUE!</v>
    <v>en-US</v>
    <v>05277898-b62b-4878-8632-09d29756a2ff</v>
    <v>536870912</v>
    <v>1</v>
    <v>127</v>
    <v>5</v>
    <v>New Jersey</v>
    <v>7</v>
    <v>8</v>
    <v>Map</v>
    <v>9</v>
    <v>128</v>
    <v>US-NJ</v>
    <v>800</v>
    <v>801</v>
    <v>802</v>
    <v>803</v>
    <v>New Jersey is a state located in both the Mid-Atlantic and Northeastern regions of the United States, at the geographic hub of the heavily urbanized Northeast megalopolis. New Jersey is bordered to the northwest, north, and northeast by New York ...</v>
    <v>804</v>
    <v>805</v>
    <v>806</v>
    <v>807</v>
    <v>809</v>
    <v>810</v>
    <v>811</v>
    <v>812</v>
    <v>813</v>
    <v>New Jersey</v>
    <v>91</v>
    <v>289</v>
    <v>814</v>
    <v>21</v>
    <v>815</v>
    <v>351</v>
    <v>385</v>
    <v>816</v>
    <v>817</v>
    <v>818</v>
    <v>819</v>
    <v>265</v>
    <v>820</v>
    <v>31</v>
    <v>574</v>
    <v>380</v>
    <v>464</v>
    <v>240</v>
    <v>821</v>
    <v>210</v>
    <v>New Jersey</v>
    <v>mdp/vdpid/23117</v>
  </rv>
  <rv s="0">
    <v>536870912</v>
    <v>New Mexico</v>
    <v>a16d3636-4349-41c7-a77e-89e34b26a8ad</v>
    <v>en-US</v>
    <v>Map</v>
  </rv>
  <rv s="1">
    <fb>315194</fb>
    <v>11</v>
  </rv>
  <rv s="1">
    <fb>4863</fb>
    <v>11</v>
  </rv>
  <rv s="0">
    <v>536870912</v>
    <v>Santa Fe, New Mexico</v>
    <v>4b18f381-d510-4934-8a88-4507135c578d</v>
    <v>en-US</v>
    <v>Map</v>
  </rv>
  <rv s="1">
    <fb>763603</fb>
    <v>11</v>
  </rv>
  <rv s="1">
    <fb>917568</fb>
    <v>11</v>
  </rv>
  <rv s="2">
    <v>28</v>
    <v>9</v>
    <v>129</v>
    <v>7</v>
    <v>0</v>
    <v>Image of New Mexico</v>
  </rv>
  <rv s="0">
    <v>536870912</v>
    <v>Albuquerque, New Mexico</v>
    <v>7fffaaf6-e694-4095-be90-f6492cadbd58</v>
    <v>en-US</v>
    <v>Map</v>
  </rv>
  <rv s="0">
    <v>805306368</v>
    <v>Michelle Lujan Grisham (Governor)</v>
    <v>fe49b454-a2aa-4dfe-a1ba-763d379a487f</v>
    <v>en-US</v>
    <v>Generic</v>
  </rv>
  <rv s="0">
    <v>805306368</v>
    <v>Howie Morales (Lieutenant governor)</v>
    <v>d94f2150-c331-242b-1da6-e02f93039204</v>
    <v>en-US</v>
    <v>Generic</v>
  </rv>
  <rv s="0">
    <v>805306368</v>
    <v>Martin Heinrich (Senate)</v>
    <v>da49350f-b13e-156f-2772-ade036c3a48d</v>
    <v>en-US</v>
    <v>Generic</v>
  </rv>
  <rv s="0">
    <v>805306368</v>
    <v>Ben Ray Luján (Senate)</v>
    <v>b17634b0-5581-755b-9649-1736eceef176</v>
    <v>en-US</v>
    <v>Generic</v>
  </rv>
  <rv s="3">
    <v>39</v>
  </rv>
  <rv s="4">
    <v>https://www.bing.com/search?q=new+mexico&amp;form=skydnc</v>
    <v>Learn more on Bing</v>
  </rv>
  <rv s="1">
    <fb>44963</fb>
    <v>12</v>
  </rv>
  <rv s="1">
    <fb>160300</fb>
    <v>12</v>
  </rv>
  <rv s="1">
    <fb>2130256</fb>
    <v>11</v>
  </rv>
  <rv s="1">
    <fb>0.105</fb>
    <v>15</v>
  </rv>
  <rv s="1">
    <fb>0.26300000000000001</fb>
    <v>14</v>
  </rv>
  <rv s="1">
    <fb>0.48</fb>
    <v>14</v>
  </rv>
  <rv s="1">
    <fb>0.10099999999999999</fb>
    <v>14</v>
  </rv>
  <rv s="1">
    <fb>0.82499999999999996</fb>
    <v>14</v>
  </rv>
  <rv s="6">
    <v>#VALUE!</v>
    <v>en-US</v>
    <v>a16d3636-4349-41c7-a77e-89e34b26a8ad</v>
    <v>536870912</v>
    <v>1</v>
    <v>132</v>
    <v>36</v>
    <v>New Mexico</v>
    <v>7</v>
    <v>8</v>
    <v>Map</v>
    <v>9</v>
    <v>10</v>
    <v>US-NM</v>
    <v>824</v>
    <v>825</v>
    <v>826</v>
    <v>4</v>
    <v>New Mexico is a state in the Southwestern region of the United States. It is one of the Mountain States of the southern Rocky Mountains, sharing the Four Corners region with Utah, Colorado, and Arizona. It also borders the state of Texas to the ...</v>
    <v>827</v>
    <v>828</v>
    <v>829</v>
    <v>830</v>
    <v>835</v>
    <v>836</v>
    <v>515</v>
    <v>837</v>
    <v>838</v>
    <v>New Mexico</v>
    <v>546</v>
    <v>839</v>
    <v>657</v>
    <v>197</v>
    <v>840</v>
    <v>21</v>
    <v>841</v>
    <v>792</v>
    <v>167</v>
    <v>466</v>
    <v>842</v>
    <v>467</v>
    <v>171</v>
    <v>843</v>
    <v>94</v>
    <v>70</v>
    <v>132</v>
    <v>844</v>
    <v>176</v>
    <v>New Mexico</v>
    <v>mdp/vdpid/23132</v>
  </rv>
  <rv s="0">
    <v>536870912</v>
    <v>New York</v>
    <v>caeb7b9a-f5d7-4686-8fb5-cf7628296b13</v>
    <v>en-US</v>
    <v>Map</v>
  </rv>
  <rv s="1">
    <fb>141300</fb>
    <v>11</v>
  </rv>
  <rv s="1">
    <fb>33711</fb>
    <v>11</v>
  </rv>
  <rv s="0">
    <v>536870912</v>
    <v>Albany</v>
    <v>62ca8245-972e-448d-af38-345d4a958798</v>
    <v>en-US</v>
    <v>Map</v>
  </rv>
  <rv s="1">
    <fb>7262279</fb>
    <v>11</v>
  </rv>
  <rv s="1">
    <fb>8231687</fb>
    <v>11</v>
  </rv>
  <rv s="2">
    <v>29</v>
    <v>9</v>
    <v>133</v>
    <v>7</v>
    <v>0</v>
    <v>Image of New York</v>
  </rv>
  <rv s="0">
    <v>536870912</v>
    <v>New York City</v>
    <v>60d5dc2b-c915-460b-b722-c9e3485499ca</v>
    <v>en-US</v>
    <v>Map</v>
  </rv>
  <rv s="0">
    <v>805306368</v>
    <v>Kathy Hochul (Governor)</v>
    <v>df92839d-3205-3454-b70c-aeefc37041a6</v>
    <v>en-US</v>
    <v>Generic</v>
  </rv>
  <rv s="0">
    <v>805306368</v>
    <v>Antonio Delgado (Lieutenant governor)</v>
    <v>c20a119d-42bf-2146-a5a5-f4ec19b8a648</v>
    <v>en-US</v>
    <v>Generic</v>
  </rv>
  <rv s="0">
    <v>805306368</v>
    <v>Chuck Schumer (Senate)</v>
    <v>d606edaa-bebe-be4b-5e66-17b8a58806b2</v>
    <v>en-US</v>
    <v>Generic</v>
  </rv>
  <rv s="0">
    <v>805306368</v>
    <v>Kirsten Gillibrand (Senate)</v>
    <v>ae592704-1bd7-e270-aa09-cb6ec83b3467</v>
    <v>en-US</v>
    <v>Generic</v>
  </rv>
  <rv s="3">
    <v>40</v>
  </rv>
  <rv s="4">
    <v>https://www.bing.com/search?q=new+york+state&amp;form=skydnc</v>
    <v>Learn more on Bing</v>
  </rv>
  <rv s="1">
    <fb>1132</fb>
    <v>12</v>
  </rv>
  <rv s="1">
    <fb>59269</fb>
    <v>12</v>
  </rv>
  <rv s="1">
    <fb>283400</fb>
    <v>12</v>
  </rv>
  <rv s="1">
    <fb>20201249</fb>
    <v>11</v>
  </rv>
  <rv s="1">
    <fb>0.34200000000000003</fb>
    <v>14</v>
  </rv>
  <rv s="1">
    <fb>0.17600000000000002</fb>
    <v>14</v>
  </rv>
  <rv s="1">
    <fb>0.85599999999999998</fb>
    <v>14</v>
  </rv>
  <rv s="1">
    <fb>0.63300000000000001</fb>
    <v>14</v>
  </rv>
  <rv s="1">
    <fb>0.70099999999999996</fb>
    <v>14</v>
  </rv>
  <rv s="6">
    <v>#VALUE!</v>
    <v>en-US</v>
    <v>caeb7b9a-f5d7-4686-8fb5-cf7628296b13</v>
    <v>536870912</v>
    <v>1</v>
    <v>136</v>
    <v>36</v>
    <v>New York</v>
    <v>7</v>
    <v>8</v>
    <v>Map</v>
    <v>9</v>
    <v>128</v>
    <v>US-NY</v>
    <v>847</v>
    <v>848</v>
    <v>849</v>
    <v>803</v>
    <v>New York, sometimes called New York State, is a state in the Northeastern region of the United States. A Mid-Atlantic state, New York borders New England, and has an international border with Canada. With almost 19.6 million residents, it is the ...</v>
    <v>850</v>
    <v>851</v>
    <v>852</v>
    <v>853</v>
    <v>858</v>
    <v>859</v>
    <v>860</v>
    <v>861</v>
    <v>862</v>
    <v>New York</v>
    <v>258</v>
    <v>863</v>
    <v>358</v>
    <v>815</v>
    <v>96</v>
    <v>298</v>
    <v>864</v>
    <v>865</v>
    <v>494</v>
    <v>866</v>
    <v>519</v>
    <v>867</v>
    <v>31</v>
    <v>318</v>
    <v>408</v>
    <v>169</v>
    <v>35</v>
    <v>868</v>
    <v>210</v>
    <v>New York</v>
    <v>mdp/vdpid/23161</v>
  </rv>
  <rv s="0">
    <v>536870912</v>
    <v>North Carolina</v>
    <v>9e2bf053-dd80-4646-8f26-65075e7085c0</v>
    <v>en-US</v>
    <v>Map</v>
  </rv>
  <rv s="1">
    <fb>139390</fb>
    <v>11</v>
  </rv>
  <rv s="1">
    <fb>60550</fb>
    <v>11</v>
  </rv>
  <rv s="0">
    <v>536870912</v>
    <v>Raleigh, North Carolina</v>
    <v>7b706445-83c5-46a4-bb70-cff23cd555d3</v>
    <v>en-US</v>
    <v>Map</v>
  </rv>
  <rv s="1">
    <fb>3775581</fb>
    <v>11</v>
  </rv>
  <rv s="1">
    <fb>4540498</fb>
    <v>11</v>
  </rv>
  <rv s="2">
    <v>30</v>
    <v>9</v>
    <v>137</v>
    <v>7</v>
    <v>0</v>
    <v>Image of North Carolina</v>
  </rv>
  <rv s="0">
    <v>536870912</v>
    <v>Charlotte, North Carolina</v>
    <v>e6558399-4151-4390-ad12-f2a72b268ce7</v>
    <v>en-US</v>
    <v>Map</v>
  </rv>
  <rv s="0">
    <v>805306368</v>
    <v>Josh Stein (Governor)</v>
    <v>bd9e85b8-9788-a6bb-f6f8-da4439010652</v>
    <v>en-US</v>
    <v>Generic</v>
  </rv>
  <rv s="0">
    <v>805306368</v>
    <v>Rachel Hunt (Lieutenant governor)</v>
    <v>7a115748-1b0e-73d2-e474-930c4c40a56c</v>
    <v>en-US</v>
    <v>Generic</v>
  </rv>
  <rv s="0">
    <v>805306368</v>
    <v>Thom Tillis (Senate)</v>
    <v>2f3de2c4-5375-4957-ae4e-f7b61b1ad7da</v>
    <v>en-US</v>
    <v>Generic</v>
  </rv>
  <rv s="0">
    <v>805306368</v>
    <v>Ted Budd (Senate)</v>
    <v>45ffd2c1-154a-426a-adb2-4685e39394cd</v>
    <v>en-US</v>
    <v>Generic</v>
  </rv>
  <rv s="3">
    <v>41</v>
  </rv>
  <rv s="4">
    <v>https://www.bing.com/search?q=north+carolina&amp;form=skydnc</v>
    <v>Learn more on Bing</v>
  </rv>
  <rv s="1">
    <fb>797</fb>
    <v>12</v>
  </rv>
  <rv s="1">
    <fb>46868</fb>
    <v>12</v>
  </rv>
  <rv s="1">
    <fb>154900</fb>
    <v>12</v>
  </rv>
  <rv s="1">
    <fb>2.54</fb>
    <v>13</v>
  </rv>
  <rv s="1">
    <fb>11046024</fb>
    <v>11</v>
  </rv>
  <rv s="1">
    <fb>0.151</fb>
    <v>14</v>
  </rv>
  <rv s="1">
    <fb>0.28399999999999997</fb>
    <v>14</v>
  </rv>
  <rv s="1">
    <fb>0.221</fb>
    <v>14</v>
  </rv>
  <rv s="1">
    <fb>0.61799999999999999</fb>
    <v>14</v>
  </rv>
  <rv s="1">
    <fb>0.22800000000000001</fb>
    <v>14</v>
  </rv>
  <rv s="1">
    <fb>0.71200000000000008</fb>
    <v>14</v>
  </rv>
  <rv s="5">
    <v>#VALUE!</v>
    <v>en-US</v>
    <v>9e2bf053-dd80-4646-8f26-65075e7085c0</v>
    <v>536870912</v>
    <v>1</v>
    <v>140</v>
    <v>5</v>
    <v>North Carolina</v>
    <v>7</v>
    <v>8</v>
    <v>Map</v>
    <v>9</v>
    <v>10</v>
    <v>US-NC</v>
    <v>871</v>
    <v>872</v>
    <v>873</v>
    <v>4</v>
    <v>North Carolina is a state in the Southeastern region of the United States. It is bordered by Virginia to the north, the Atlantic Ocean to the east, South Carolina to the south, Georgia to the southwest, and Tennessee to the west. The state is ...</v>
    <v>874</v>
    <v>875</v>
    <v>876</v>
    <v>877</v>
    <v>882</v>
    <v>883</v>
    <v>884</v>
    <v>885</v>
    <v>886</v>
    <v>North Carolina</v>
    <v>18</v>
    <v>887</v>
    <v>888</v>
    <v>105</v>
    <v>889</v>
    <v>163</v>
    <v>262</v>
    <v>890</v>
    <v>891</v>
    <v>634</v>
    <v>387</v>
    <v>714</v>
    <v>892</v>
    <v>31</v>
    <v>260</v>
    <v>380</v>
    <v>893</v>
    <v>35</v>
    <v>894</v>
    <v>210</v>
    <v>North Carolina</v>
    <v>mdp/vdpid/23611</v>
  </rv>
  <rv s="0">
    <v>536870912</v>
    <v>North Dakota</v>
    <v>77fbc744-3efe-4aa9-9e8e-f8034f06b941</v>
    <v>en-US</v>
    <v>Map</v>
  </rv>
  <rv s="1">
    <fb>183108</fb>
    <v>11</v>
  </rv>
  <rv s="1">
    <fb>3981</fb>
    <v>11</v>
  </rv>
  <rv s="0">
    <v>536870912</v>
    <v>Bismarck, North Dakota</v>
    <v>9fa1be97-4895-ee5c-303c-a38472229e49</v>
    <v>en-US</v>
    <v>Map</v>
  </rv>
  <rv s="1">
    <fb>299638</fb>
    <v>11</v>
  </rv>
  <rv s="1">
    <fb>368624</fb>
    <v>11</v>
  </rv>
  <rv s="2">
    <v>31</v>
    <v>9</v>
    <v>141</v>
    <v>7</v>
    <v>0</v>
    <v>Image of North Dakota</v>
  </rv>
  <rv s="0">
    <v>536870912</v>
    <v>Fargo, North Dakota</v>
    <v>4886dae3-b8ea-4b19-b601-d775aa06fa2d</v>
    <v>en-US</v>
    <v>Map</v>
  </rv>
  <rv s="0">
    <v>805306368</v>
    <v>Kelly Armstrong (Governor)</v>
    <v>1df10c1e-1bed-08b3-3695-08680dca35a1</v>
    <v>en-US</v>
    <v>Generic</v>
  </rv>
  <rv s="0">
    <v>805306368</v>
    <v>Michelle Strinden (Lieutenant governor)</v>
    <v>262db778-902a-c9f8-daf4-2921d4eb468b</v>
    <v>en-US</v>
    <v>Generic</v>
  </rv>
  <rv s="0">
    <v>805306368</v>
    <v>John Hoeven (Senate)</v>
    <v>85e5e57d-2809-2bd0-7756-27fc8ab1bbcc</v>
    <v>en-US</v>
    <v>Generic</v>
  </rv>
  <rv s="0">
    <v>805306368</v>
    <v>Kevin Cramer (Senate)</v>
    <v>42d1db50-a889-f567-7dfe-0836dce6034c</v>
    <v>en-US</v>
    <v>Generic</v>
  </rv>
  <rv s="3">
    <v>42</v>
  </rv>
  <rv s="4">
    <v>https://www.bing.com/search?q=north+dakota&amp;form=skydnc</v>
    <v>Learn more on Bing</v>
  </rv>
  <rv s="1">
    <fb>709</fb>
    <v>12</v>
  </rv>
  <rv s="1">
    <fb>57181</fb>
    <v>12</v>
  </rv>
  <rv s="1">
    <fb>153800</fb>
    <v>12</v>
  </rv>
  <rv s="1">
    <fb>2.3199999999999998</fb>
    <v>13</v>
  </rv>
  <rv s="1">
    <fb>796568</fb>
    <v>11</v>
  </rv>
  <rv s="1">
    <fb>0.127</fb>
    <v>14</v>
  </rv>
  <rv s="1">
    <fb>5.5E-2</fb>
    <v>15</v>
  </rv>
  <rv s="1">
    <fb>0.27699999999999997</fb>
    <v>14</v>
  </rv>
  <rv s="1">
    <fb>0.91700000000000004</fb>
    <v>14</v>
  </rv>
  <rv s="1">
    <fb>0.69299999999999995</fb>
    <v>14</v>
  </rv>
  <rv s="1">
    <fb>7.0000000000000007E-2</fb>
    <v>14</v>
  </rv>
  <rv s="3">
    <v>43</v>
  </rv>
  <rv s="5">
    <v>#VALUE!</v>
    <v>en-US</v>
    <v>77fbc744-3efe-4aa9-9e8e-f8034f06b941</v>
    <v>536870912</v>
    <v>1</v>
    <v>144</v>
    <v>5</v>
    <v>North Dakota</v>
    <v>7</v>
    <v>8</v>
    <v>Map</v>
    <v>9</v>
    <v>10</v>
    <v>US-ND</v>
    <v>897</v>
    <v>898</v>
    <v>899</v>
    <v>4</v>
    <v>North Dakota is a landlocked U.S. state in the Upper Midwest, named after the indigenous Dakota Sioux. It is bordered by the Canadian provinces of Saskatchewan and Manitoba to the north and by the U.S. states of Minnesota to the east, South ...</v>
    <v>900</v>
    <v>901</v>
    <v>902</v>
    <v>903</v>
    <v>908</v>
    <v>909</v>
    <v>910</v>
    <v>911</v>
    <v>912</v>
    <v>North Dakota</v>
    <v>18</v>
    <v>913</v>
    <v>914</v>
    <v>915</v>
    <v>350</v>
    <v>916</v>
    <v>24</v>
    <v>917</v>
    <v>408</v>
    <v>164</v>
    <v>918</v>
    <v>27</v>
    <v>919</v>
    <v>31</v>
    <v>138</v>
    <v>380</v>
    <v>173</v>
    <v>920</v>
    <v>819</v>
    <v>921</v>
    <v>North Dakota</v>
    <v>mdp/vdpid/23624</v>
  </rv>
  <rv s="0">
    <v>536870912</v>
    <v>Ohio</v>
    <v>6f3df7da-1ef6-48e3-b2b3-b5b5fce3e846</v>
    <v>en-US</v>
    <v>Map</v>
  </rv>
  <rv s="1">
    <fb>116096</fb>
    <v>11</v>
  </rv>
  <rv s="1">
    <fb>22816</fb>
    <v>11</v>
  </rv>
  <rv s="0">
    <v>536870912</v>
    <v>Columbus, Ohio</v>
    <v>5b78da0b-6447-4f71-92b2-f1fafe94ba51</v>
    <v>en-US</v>
    <v>Map</v>
  </rv>
  <rv s="1">
    <fb>4585084</fb>
    <v>11</v>
  </rv>
  <rv s="1">
    <fb>5164361</fb>
    <v>11</v>
  </rv>
  <rv s="2">
    <v>32</v>
    <v>9</v>
    <v>145</v>
    <v>7</v>
    <v>0</v>
    <v>Image of Ohio</v>
  </rv>
  <rv s="0">
    <v>805306368</v>
    <v>Mike DeWine (Governor)</v>
    <v>ba3cf2bc-483c-6746-4369-a5b07e33c8ea</v>
    <v>en-US</v>
    <v>Generic</v>
  </rv>
  <rv s="0">
    <v>805306368</v>
    <v>Jim Tressel (Lieutenant governor)</v>
    <v>fea1d415-3b0b-3b02-731b-3b6f17db87c8</v>
    <v>en-US</v>
    <v>Generic</v>
  </rv>
  <rv s="0">
    <v>805306368</v>
    <v>Bernie Moreno (Senate)</v>
    <v>a07f18b9-2c29-cef5-821d-7fce7cac2551</v>
    <v>en-US</v>
    <v>Generic</v>
  </rv>
  <rv s="0">
    <v>805306368</v>
    <v>Jon Husted (Senate)</v>
    <v>98c16a0c-0820-d45d-b6c8-e3b9090fb0f6</v>
    <v>en-US</v>
    <v>Generic</v>
  </rv>
  <rv s="3">
    <v>44</v>
  </rv>
  <rv s="4">
    <v>https://www.bing.com/search?q=ohio&amp;form=skydnc</v>
    <v>Learn more on Bing</v>
  </rv>
  <rv s="1">
    <fb>730</fb>
    <v>12</v>
  </rv>
  <rv s="1">
    <fb>49429</fb>
    <v>12</v>
  </rv>
  <rv s="1">
    <fb>129900</fb>
    <v>12</v>
  </rv>
  <rv s="3">
    <v>45</v>
  </rv>
  <rv s="1">
    <fb>2.46</fb>
    <v>13</v>
  </rv>
  <rv s="1">
    <fb>11883304</fb>
    <v>11</v>
  </rv>
  <rv s="1">
    <fb>0.159</fb>
    <v>14</v>
  </rv>
  <rv s="1">
    <fb>0.26100000000000001</fb>
    <v>14</v>
  </rv>
  <rv s="1">
    <fb>9.9000000000000005E-2</fb>
    <v>14</v>
  </rv>
  <rv s="1">
    <fb>0.22600000000000001</fb>
    <v>14</v>
  </rv>
  <rv s="1">
    <fb>0.82700000000000007</fb>
    <v>14</v>
  </rv>
  <rv s="5">
    <v>#VALUE!</v>
    <v>en-US</v>
    <v>6f3df7da-1ef6-48e3-b2b3-b5b5fce3e846</v>
    <v>536870912</v>
    <v>1</v>
    <v>148</v>
    <v>5</v>
    <v>Ohio</v>
    <v>7</v>
    <v>8</v>
    <v>Map</v>
    <v>9</v>
    <v>10</v>
    <v>US-OH</v>
    <v>924</v>
    <v>925</v>
    <v>926</v>
    <v>4</v>
    <v>Ohio is a state in the Midwestern region of the United States. It borders Lake Erie to the north, Pennsylvania to the east, West Virginia to the southeast, Kentucky to the southwest, Indiana to the west, and Michigan to the northwest. Of the 50 ...</v>
    <v>927</v>
    <v>928</v>
    <v>929</v>
    <v>926</v>
    <v>934</v>
    <v>935</v>
    <v>936</v>
    <v>937</v>
    <v>938</v>
    <v>Ohio</v>
    <v>939</v>
    <v>940</v>
    <v>941</v>
    <v>656</v>
    <v>942</v>
    <v>463</v>
    <v>380</v>
    <v>943</v>
    <v>915</v>
    <v>631</v>
    <v>743</v>
    <v>712</v>
    <v>867</v>
    <v>31</v>
    <v>944</v>
    <v>380</v>
    <v>945</v>
    <v>35</v>
    <v>946</v>
    <v>210</v>
    <v>Ohio</v>
    <v>mdp/vdpid/24230</v>
  </rv>
  <rv s="0">
    <v>536870912</v>
    <v>Oklahoma</v>
    <v>cbcf556f-952a-4665-bb95-0500b27f9976</v>
    <v>en-US</v>
    <v>Map</v>
  </rv>
  <rv s="1">
    <fb>181195</fb>
    <v>11</v>
  </rv>
  <rv s="1">
    <fb>12092</fb>
    <v>11</v>
  </rv>
  <rv s="0">
    <v>536870912</v>
    <v>Oklahoma City</v>
    <v>59d212a0-2f5f-4681-a7a0-a8a6e25853e1</v>
    <v>en-US</v>
    <v>Map</v>
  </rv>
  <rv s="1">
    <fb>1455321</fb>
    <v>11</v>
  </rv>
  <rv s="1">
    <fb>1721045</fb>
    <v>11</v>
  </rv>
  <rv s="2">
    <v>33</v>
    <v>9</v>
    <v>149</v>
    <v>7</v>
    <v>0</v>
    <v>Image of Oklahoma</v>
  </rv>
  <rv s="0">
    <v>805306368</v>
    <v>Kevin Stitt (Governor)</v>
    <v>50460cc8-b10e-ddcd-8554-9a0e8a8aa526</v>
    <v>en-US</v>
    <v>Generic</v>
  </rv>
  <rv s="0">
    <v>805306368</v>
    <v>Matt Pinnell (Lieutenant governor)</v>
    <v>189caae5-49b2-e53b-db23-b10a7ec5d36b</v>
    <v>en-US</v>
    <v>Generic</v>
  </rv>
  <rv s="0">
    <v>805306368</v>
    <v>James Lankford (Senate)</v>
    <v>9bfa929f-1dbf-4884-2bbc-ecde4793ee48</v>
    <v>en-US</v>
    <v>Generic</v>
  </rv>
  <rv s="0">
    <v>805306368</v>
    <v>Markwayne Mullin (Senate)</v>
    <v>05fad978-d35b-4dc0-b57e-e3afb8372ed3</v>
    <v>en-US</v>
    <v>Generic</v>
  </rv>
  <rv s="3">
    <v>46</v>
  </rv>
  <rv s="4">
    <v>https://www.bing.com/search?q=oklahoma&amp;form=skydnc</v>
    <v>Learn more on Bing</v>
  </rv>
  <rv s="1">
    <fb>727</fb>
    <v>12</v>
  </rv>
  <rv s="1">
    <fb>46879</fb>
    <v>12</v>
  </rv>
  <rv s="1">
    <fb>117900</fb>
    <v>12</v>
  </rv>
  <rv s="1">
    <fb>3959353</fb>
    <v>11</v>
  </rv>
  <rv s="1">
    <fb>9.0999999999999998E-2</fb>
    <v>15</v>
  </rv>
  <rv s="1">
    <fb>7.8E-2</fb>
    <v>14</v>
  </rv>
  <rv s="1">
    <fb>0.61099999999999999</fb>
    <v>14</v>
  </rv>
  <rv s="1">
    <fb>0.113</fb>
    <v>14</v>
  </rv>
  <rv s="1">
    <fb>0.24600000000000002</fb>
    <v>14</v>
  </rv>
  <rv s="1">
    <fb>0.748</fb>
    <v>14</v>
  </rv>
  <rv s="9">
    <v>#VALUE!</v>
    <v>en-US</v>
    <v>cbcf556f-952a-4665-bb95-0500b27f9976</v>
    <v>536870912</v>
    <v>1</v>
    <v>152</v>
    <v>153</v>
    <v>Oklahoma</v>
    <v>7</v>
    <v>8</v>
    <v>Map</v>
    <v>9</v>
    <v>128</v>
    <v>US-OK</v>
    <v>949</v>
    <v>950</v>
    <v>951</v>
    <v>803</v>
    <v>Oklahoma is a state in the South Central region of the United States. It borders Texas to the south and west, Kansas to the north, Missouri to the northeast, Arkansas to the east, New Mexico to the west, and Colorado to the northwest. Partially ...</v>
    <v>952</v>
    <v>953</v>
    <v>954</v>
    <v>951</v>
    <v>959</v>
    <v>960</v>
    <v>961</v>
    <v>962</v>
    <v>963</v>
    <v>Oklahoma</v>
    <v>91</v>
    <v>195</v>
    <v>964</v>
    <v>199</v>
    <v>130</v>
    <v>965</v>
    <v>207</v>
    <v>381</v>
    <v>966</v>
    <v>609</v>
    <v>266</v>
    <v>843</v>
    <v>967</v>
    <v>171</v>
    <v>968</v>
    <v>35</v>
    <v>969</v>
    <v>436</v>
    <v>970</v>
    <v>Oklahoma</v>
    <v>mdp/vdpid/24293</v>
  </rv>
  <rv s="0">
    <v>536870912</v>
    <v>Oregon</v>
    <v>cacd36fd-7c62-43e2-a632-64a2a1811933</v>
    <v>en-US</v>
    <v>Map</v>
  </rv>
  <rv s="1">
    <fb>255026</fb>
    <v>11</v>
  </rv>
  <rv s="1">
    <fb>19586</fb>
    <v>11</v>
  </rv>
  <rv s="0">
    <v>536870912</v>
    <v>Salem, Oregon</v>
    <v>181e3c46-a4b5-41c5-a74f-486f15e8dc58</v>
    <v>en-US</v>
    <v>Map</v>
  </rv>
  <rv s="1">
    <fb>1533430</fb>
    <v>11</v>
  </rv>
  <rv s="1">
    <fb>1732786</fb>
    <v>11</v>
  </rv>
  <rv s="2">
    <v>34</v>
    <v>9</v>
    <v>154</v>
    <v>7</v>
    <v>0</v>
    <v>Image of Oregon</v>
  </rv>
  <rv s="0">
    <v>536870912</v>
    <v>Portland, Oregon</v>
    <v>5658ef8a-9267-4851-b335-72bc82329a4e</v>
    <v>en-US</v>
    <v>Map</v>
  </rv>
  <rv s="0">
    <v>805306368</v>
    <v>Tina Kotek (Governor)</v>
    <v>84ac333f-9a13-39da-fbda-a943cbce407a</v>
    <v>en-US</v>
    <v>Generic</v>
  </rv>
  <rv s="0">
    <v>805306368</v>
    <v>Tobias Read (Secretary of state)</v>
    <v>d2353ea6-643d-7994-fd2e-422cdb39ef74</v>
    <v>en-US</v>
    <v>Generic</v>
  </rv>
  <rv s="0">
    <v>805306368</v>
    <v>Ron Wyden (Senate)</v>
    <v>d0e83019-c9b2-fd5a-a7c5-a65db12029f0</v>
    <v>en-US</v>
    <v>Generic</v>
  </rv>
  <rv s="0">
    <v>805306368</v>
    <v>Jeff Merkley (Senate)</v>
    <v>90fcbf22-b36e-14ad-e541-c9163134b536</v>
    <v>en-US</v>
    <v>Generic</v>
  </rv>
  <rv s="3">
    <v>47</v>
  </rv>
  <rv s="4">
    <v>https://www.bing.com/search?q=oregon&amp;form=skydnc</v>
    <v>Learn more on Bing</v>
  </rv>
  <rv s="1">
    <fb>51243</fb>
    <v>12</v>
  </rv>
  <rv s="3">
    <v>48</v>
  </rv>
  <rv s="1">
    <fb>2.5099999999999998</fb>
    <v>13</v>
  </rv>
  <rv s="1">
    <fb>4272371</fb>
    <v>11</v>
  </rv>
  <rv s="1">
    <fb>1.8000000000000002E-2</fb>
    <v>15</v>
  </rv>
  <rv s="1">
    <fb>0.308</fb>
    <v>14</v>
  </rv>
  <rv s="1">
    <fb>0.621</fb>
    <v>14</v>
  </rv>
  <rv s="1">
    <fb>3.7000000000000005E-2</fb>
    <v>14</v>
  </rv>
  <rv s="1">
    <fb>0.214</fb>
    <v>14</v>
  </rv>
  <rv s="1">
    <fb>0.87599999999999989</fb>
    <v>14</v>
  </rv>
  <rv s="5">
    <v>#VALUE!</v>
    <v>en-US</v>
    <v>cacd36fd-7c62-43e2-a632-64a2a1811933</v>
    <v>536870912</v>
    <v>1</v>
    <v>157</v>
    <v>5</v>
    <v>Oregon</v>
    <v>7</v>
    <v>8</v>
    <v>Map</v>
    <v>9</v>
    <v>10</v>
    <v>US-OR</v>
    <v>973</v>
    <v>974</v>
    <v>975</v>
    <v>4</v>
    <v>Oregon is a state in the Pacific Northwest region of the United States. It is a part of the Western U.S., with the Columbia River delineating much of Oregon's northern boundary with Washington, while the Snake River delineates much of its ...</v>
    <v>976</v>
    <v>977</v>
    <v>978</v>
    <v>979</v>
    <v>984</v>
    <v>985</v>
    <v>345</v>
    <v>986</v>
    <v>789</v>
    <v>Oregon</v>
    <v>987</v>
    <v>988</v>
    <v>989</v>
    <v>138</v>
    <v>58</v>
    <v>990</v>
    <v>737</v>
    <v>991</v>
    <v>380</v>
    <v>944</v>
    <v>577</v>
    <v>915</v>
    <v>992</v>
    <v>602</v>
    <v>161</v>
    <v>993</v>
    <v>994</v>
    <v>411</v>
    <v>995</v>
    <v>142</v>
    <v>Oregon</v>
    <v>mdp/vdpid/24561</v>
  </rv>
  <rv s="0">
    <v>536870912</v>
    <v>Pennsylvania</v>
    <v>6304580e-c803-4266-818a-971619176547</v>
    <v>en-US</v>
    <v>Map</v>
  </rv>
  <rv s="1">
    <fb>119283</fb>
    <v>11</v>
  </rv>
  <rv s="1">
    <fb>23303</fb>
    <v>11</v>
  </rv>
  <rv s="0">
    <v>536870912</v>
    <v>Harrisburg, Pennsylvania</v>
    <v>c0411c8e-89cf-5f47-d2f3-d5e52d320fff</v>
    <v>en-US</v>
    <v>Map</v>
  </rv>
  <rv s="1">
    <fb>4958859</fb>
    <v>11</v>
  </rv>
  <rv s="1">
    <fb>5612002</fb>
    <v>11</v>
  </rv>
  <rv s="2">
    <v>35</v>
    <v>9</v>
    <v>158</v>
    <v>7</v>
    <v>0</v>
    <v>Image of Pennsylvania</v>
  </rv>
  <rv s="0">
    <v>536870912</v>
    <v>Philadelphia</v>
    <v>020d4bbf-2971-4236-b87d-c3ec1d7f851c</v>
    <v>en-US</v>
    <v>Map</v>
  </rv>
  <rv s="0">
    <v>805306368</v>
    <v>Josh Shapiro (Governor)</v>
    <v>53262225-ea14-3f9e-bd31-7e9b978d5e27</v>
    <v>en-US</v>
    <v>Generic</v>
  </rv>
  <rv s="0">
    <v>805306368</v>
    <v>Austin Davis (Lieutenant governor)</v>
    <v>9d043ecc-c40b-67e4-0b39-b0df6bdd7dec</v>
    <v>en-US</v>
    <v>Generic</v>
  </rv>
  <rv s="0">
    <v>805306368</v>
    <v>John Fetterman (Senate)</v>
    <v>0def1c22-1608-cc63-a1a2-07cb8272777b</v>
    <v>en-US</v>
    <v>Generic</v>
  </rv>
  <rv s="0">
    <v>805306368</v>
    <v>Dave McCormick (Senate)</v>
    <v>a00de8fd-32df-41f2-a4f1-02d9e795bc19</v>
    <v>en-US</v>
    <v>Generic</v>
  </rv>
  <rv s="3">
    <v>49</v>
  </rv>
  <rv s="4">
    <v>https://www.bing.com/search?q=pennsylvania&amp;form=skydnc</v>
    <v>Learn more on Bing</v>
  </rv>
  <rv s="1">
    <fb>840</fb>
    <v>12</v>
  </rv>
  <rv s="1">
    <fb>53599</fb>
    <v>12</v>
  </rv>
  <rv s="1">
    <fb>166000</fb>
    <v>12</v>
  </rv>
  <rv s="1">
    <fb>13078751</fb>
    <v>11</v>
  </rv>
  <rv s="1">
    <fb>0.28600000000000003</fb>
    <v>14</v>
  </rv>
  <rv s="1">
    <fb>0.11699999999999999</fb>
    <v>14</v>
  </rv>
  <rv s="1">
    <fb>0.628</fb>
    <v>14</v>
  </rv>
  <rv s="1">
    <fb>0.21</fb>
    <v>14</v>
  </rv>
  <rv s="1">
    <fb>5.5999999999999994E-2</fb>
    <v>14</v>
  </rv>
  <rv s="1">
    <fb>0.82599999999999996</fb>
    <v>14</v>
  </rv>
  <rv s="5">
    <v>#VALUE!</v>
    <v>en-US</v>
    <v>6304580e-c803-4266-818a-971619176547</v>
    <v>536870912</v>
    <v>1</v>
    <v>161</v>
    <v>5</v>
    <v>Pennsylvania</v>
    <v>7</v>
    <v>8</v>
    <v>Map</v>
    <v>9</v>
    <v>10</v>
    <v>US-PA</v>
    <v>998</v>
    <v>999</v>
    <v>1000</v>
    <v>4</v>
    <v>Pennsylvania, officially the Commonwealth of Pennsylvania, is a state spanning the Mid-Atlantic, Northeastern, Appalachian, and Great Lakes regions of the United States. It borders Delaware to its southeast, Maryland to its south, West Virginia ...</v>
    <v>1001</v>
    <v>1002</v>
    <v>1003</v>
    <v>1004</v>
    <v>1009</v>
    <v>1010</v>
    <v>1011</v>
    <v>1012</v>
    <v>1013</v>
    <v>Pennsylvania</v>
    <v>91</v>
    <v>629</v>
    <v>1014</v>
    <v>710</v>
    <v>231</v>
    <v>379</v>
    <v>60</v>
    <v>1015</v>
    <v>1016</v>
    <v>71</v>
    <v>716</v>
    <v>138</v>
    <v>1017</v>
    <v>31</v>
    <v>553</v>
    <v>358</v>
    <v>1018</v>
    <v>1019</v>
    <v>1020</v>
    <v>210</v>
    <v>Pennsylvania</v>
    <v>mdp/vdpid/25623</v>
  </rv>
  <rv s="0">
    <v>536870912</v>
    <v>Rhode Island</v>
    <v>65a08f52-b469-4f7c-8353-9b3c0b2a5752</v>
    <v>en-US</v>
    <v>Map</v>
  </rv>
  <rv s="1">
    <fb>3144.2455650000002</fb>
    <v>11</v>
  </rv>
  <rv s="1">
    <fb>1226</fb>
    <v>11</v>
  </rv>
  <rv s="0">
    <v>536870912</v>
    <v>Providence, Rhode Island</v>
    <v>956379de-1782-455c-b2d8-1ba81c8965f1</v>
    <v>en-US</v>
    <v>Map</v>
  </rv>
  <rv s="1">
    <fb>410602</fb>
    <v>11</v>
  </rv>
  <rv s="1">
    <fb>462589</fb>
    <v>11</v>
  </rv>
  <rv s="2">
    <v>36</v>
    <v>9</v>
    <v>162</v>
    <v>7</v>
    <v>0</v>
    <v>Image of Rhode Island</v>
  </rv>
  <rv s="0">
    <v>805306368</v>
    <v>Dan McKee (Governor)</v>
    <v>dbda6271-5323-1082-afca-f6c640e2a2a2</v>
    <v>en-US</v>
    <v>Generic</v>
  </rv>
  <rv s="0">
    <v>805306368</v>
    <v>Sabina Matos (Lieutenant governor)</v>
    <v>9b5119d4-a14a-3b55-5548-376bb727ab80</v>
    <v>en-US</v>
    <v>Generic</v>
  </rv>
  <rv s="0">
    <v>805306368</v>
    <v>Jack Reed (Senate)</v>
    <v>402abf68-b3e4-7e09-a397-b2c9d89166ae</v>
    <v>en-US</v>
    <v>Generic</v>
  </rv>
  <rv s="0">
    <v>805306368</v>
    <v>Sheldon Whitehouse (Senate)</v>
    <v>b0cc302b-997e-48d1-af93-bbbca84296b4</v>
    <v>en-US</v>
    <v>Generic</v>
  </rv>
  <rv s="3">
    <v>50</v>
  </rv>
  <rv s="4">
    <v>https://www.bing.com/search?q=rhode+island&amp;form=skydnc</v>
    <v>Learn more on Bing</v>
  </rv>
  <rv s="1">
    <fb>925</fb>
    <v>12</v>
  </rv>
  <rv s="1">
    <fb>56852</fb>
    <v>12</v>
  </rv>
  <rv s="1">
    <fb>238000</fb>
    <v>12</v>
  </rv>
  <rv s="1">
    <fb>1112308</fb>
    <v>11</v>
  </rv>
  <rv s="1">
    <fb>0.31900000000000001</fb>
    <v>14</v>
  </rv>
  <rv s="1">
    <fb>0.86199999999999999</fb>
    <v>14</v>
  </rv>
  <rv s="1">
    <fb>0.14400000000000002</fb>
    <v>14</v>
  </rv>
  <rv s="1">
    <fb>0.65500000000000003</fb>
    <v>14</v>
  </rv>
  <rv s="1">
    <fb>0.2</fb>
    <v>14</v>
  </rv>
  <rv s="5">
    <v>#VALUE!</v>
    <v>en-US</v>
    <v>65a08f52-b469-4f7c-8353-9b3c0b2a5752</v>
    <v>536870912</v>
    <v>1</v>
    <v>165</v>
    <v>5</v>
    <v>Rhode Island</v>
    <v>7</v>
    <v>8</v>
    <v>Map</v>
    <v>9</v>
    <v>10</v>
    <v>US-RI</v>
    <v>1023</v>
    <v>1024</v>
    <v>1025</v>
    <v>4</v>
    <v>Rhode Island is a state in the New England region of the Northeastern United States. It borders Connecticut to its west; Massachusetts to its north and east; and the Atlantic Ocean to its south via Rhode Island Sound and Block Island Sound; and ...</v>
    <v>1026</v>
    <v>1027</v>
    <v>1028</v>
    <v>1025</v>
    <v>1033</v>
    <v>1034</v>
    <v>1035</v>
    <v>1036</v>
    <v>1037</v>
    <v>Rhode Island</v>
    <v>939</v>
    <v>940</v>
    <v>1038</v>
    <v>67</v>
    <v>407</v>
    <v>96</v>
    <v>712</v>
    <v>1039</v>
    <v>412</v>
    <v>128</v>
    <v>1040</v>
    <v>1041</v>
    <v>1042</v>
    <v>171</v>
    <v>764</v>
    <v>792</v>
    <v>1043</v>
    <v>208</v>
    <v>99</v>
    <v>210</v>
    <v>Rhode Island</v>
    <v>mdp/vdpid/27664</v>
  </rv>
  <rv s="0">
    <v>536870912</v>
    <v>South Carolina</v>
    <v>810015e8-b10b-4232-9e2c-de87a67bd26e</v>
    <v>en-US</v>
    <v>Map</v>
  </rv>
  <rv s="1">
    <fb>82931</fb>
    <v>11</v>
  </rv>
  <rv s="1">
    <fb>32165</fb>
    <v>11</v>
  </rv>
  <rv s="0">
    <v>536870912</v>
    <v>Columbia, South Carolina</v>
    <v>0c8f6663-0a97-4263-b3e1-3cfe0b623552</v>
    <v>en-US</v>
    <v>Map</v>
  </rv>
  <rv s="1">
    <fb>1815094</fb>
    <v>11</v>
  </rv>
  <rv s="1">
    <fb>2236153</fb>
    <v>11</v>
  </rv>
  <rv s="2">
    <v>37</v>
    <v>9</v>
    <v>166</v>
    <v>7</v>
    <v>0</v>
    <v>Image of South Carolina</v>
  </rv>
  <rv s="0">
    <v>536870912</v>
    <v>Charleston, South Carolina</v>
    <v>cebb4aca-ea5b-40ca-99c1-dba28163d54a</v>
    <v>en-US</v>
    <v>Map</v>
  </rv>
  <rv s="0">
    <v>805306368</v>
    <v>Henry McMaster (Governor)</v>
    <v>1ee8a17e-7bdf-e76f-f39e-5653239f88dd</v>
    <v>en-US</v>
    <v>Generic</v>
  </rv>
  <rv s="0">
    <v>805306368</v>
    <v>Pamela Evette (Lieutenant governor)</v>
    <v>1aea5f86-6de3-0add-dabd-d5ae03afe8a6</v>
    <v>en-US</v>
    <v>Generic</v>
  </rv>
  <rv s="0">
    <v>805306368</v>
    <v>Lindsey Graham (Senate)</v>
    <v>9ba65851-7a4a-18c2-c979-0daf5d69d46b</v>
    <v>en-US</v>
    <v>Generic</v>
  </rv>
  <rv s="0">
    <v>805306368</v>
    <v>Tim Scott (Senate)</v>
    <v>e4a3380d-becb-dbf5-bdc0-7b5993eff931</v>
    <v>en-US</v>
    <v>Generic</v>
  </rv>
  <rv s="3">
    <v>51</v>
  </rv>
  <rv s="4">
    <v>https://www.bing.com/search?q=south+carolina&amp;form=skydnc</v>
    <v>Learn more on Bing</v>
  </rv>
  <rv s="1">
    <fb>790</fb>
    <v>12</v>
  </rv>
  <rv s="1">
    <fb>45483</fb>
    <v>12</v>
  </rv>
  <rv s="1">
    <fb>139900</fb>
    <v>12</v>
  </rv>
  <rv s="1">
    <fb>2.56</fb>
    <v>13</v>
  </rv>
  <rv s="1">
    <fb>5478831</fb>
    <v>11</v>
  </rv>
  <rv s="1">
    <fb>0.16200000000000001</fb>
    <v>14</v>
  </rv>
  <rv s="1">
    <fb>0.25800000000000001</fb>
    <v>14</v>
  </rv>
  <rv s="1">
    <fb>0.27600000000000002</fb>
    <v>14</v>
  </rv>
  <rv s="1">
    <fb>0.60099999999999998</fb>
    <v>14</v>
  </rv>
  <rv s="1">
    <fb>0.68400000000000005</fb>
    <v>14</v>
  </rv>
  <rv s="5">
    <v>#VALUE!</v>
    <v>en-US</v>
    <v>810015e8-b10b-4232-9e2c-de87a67bd26e</v>
    <v>536870912</v>
    <v>1</v>
    <v>169</v>
    <v>5</v>
    <v>South Carolina</v>
    <v>7</v>
    <v>8</v>
    <v>Map</v>
    <v>9</v>
    <v>10</v>
    <v>US-SC</v>
    <v>1046</v>
    <v>1047</v>
    <v>1048</v>
    <v>4</v>
    <v>South Carolina is a state in the Southeastern region of the United States. It borders North Carolina to the north and northeast, the Atlantic Ocean to the southeast, and Georgia to the west and south across the Savannah River. Along with North ...</v>
    <v>1049</v>
    <v>1050</v>
    <v>1051</v>
    <v>1052</v>
    <v>1057</v>
    <v>1058</v>
    <v>1059</v>
    <v>1060</v>
    <v>1061</v>
    <v>South Carolina</v>
    <v>91</v>
    <v>1062</v>
    <v>1063</v>
    <v>741</v>
    <v>1064</v>
    <v>198</v>
    <v>33</v>
    <v>1065</v>
    <v>1066</v>
    <v>62</v>
    <v>866</v>
    <v>352</v>
    <v>1067</v>
    <v>31</v>
    <v>607</v>
    <v>413</v>
    <v>464</v>
    <v>240</v>
    <v>1068</v>
    <v>210</v>
    <v>South Carolina</v>
    <v>mdp/vdpid/31410</v>
  </rv>
  <rv s="0">
    <v>536870912</v>
    <v>South Dakota</v>
    <v>9cee0b65-d357-479e-a066-31c634648f47</v>
    <v>en-US</v>
    <v>Map</v>
  </rv>
  <rv s="1">
    <fb>199729</fb>
    <v>11</v>
  </rv>
  <rv s="1">
    <fb>5686</fb>
    <v>11</v>
  </rv>
  <rv s="0">
    <v>536870912</v>
    <v>Pierre, South Dakota</v>
    <v>20a86e52-87b3-4ee4-3068-41c956ee1f18</v>
    <v>en-US</v>
    <v>Map</v>
  </rv>
  <rv s="1">
    <fb>330858</fb>
    <v>11</v>
  </rv>
  <rv s="1">
    <fb>383838</fb>
    <v>11</v>
  </rv>
  <rv s="2">
    <v>38</v>
    <v>9</v>
    <v>170</v>
    <v>7</v>
    <v>0</v>
    <v>Image of South Dakota</v>
  </rv>
  <rv s="0">
    <v>536870912</v>
    <v>Sioux Falls, South Dakota</v>
    <v>d9fcdc7f-1917-4bcf-9998-253d9b343f3e</v>
    <v>en-US</v>
    <v>Map</v>
  </rv>
  <rv s="0">
    <v>805306368</v>
    <v>Larry Rhoden (Governor)</v>
    <v>3b700e60-1a5b-4b28-86a6-ec5c548d05d5</v>
    <v>en-US</v>
    <v>Generic</v>
  </rv>
  <rv s="0">
    <v>805306368</v>
    <v>Tony Venhuizen (Lieutenant governor)</v>
    <v>1eb3c0c0-1830-22c6-3234-aba2c3e30808</v>
    <v>en-US</v>
    <v>Generic</v>
  </rv>
  <rv s="0">
    <v>805306368</v>
    <v>John Thune (Senate)</v>
    <v>566b8106-2025-dc6b-e09c-2c8ace4dfa7b</v>
    <v>en-US</v>
    <v>Generic</v>
  </rv>
  <rv s="0">
    <v>805306368</v>
    <v>Mike Rounds (Senate)</v>
    <v>2c9f7c1d-81b4-ac7b-8e71-27c658b2ca07</v>
    <v>en-US</v>
    <v>Generic</v>
  </rv>
  <rv s="3">
    <v>52</v>
  </rv>
  <rv s="4">
    <v>https://www.bing.com/search?q=south+dakota&amp;form=skydnc</v>
    <v>Learn more on Bing</v>
  </rv>
  <rv s="1">
    <fb>655</fb>
    <v>12</v>
  </rv>
  <rv s="1">
    <fb>50957</fb>
    <v>12</v>
  </rv>
  <rv s="1">
    <fb>140500</fb>
    <v>12</v>
  </rv>
  <rv s="3">
    <v>53</v>
  </rv>
  <rv s="1">
    <fb>2.4500000000000002</fb>
    <v>13</v>
  </rv>
  <rv s="1">
    <fb>924669</fb>
    <v>11</v>
  </rv>
  <rv s="1">
    <fb>8.900000000000001E-2</fb>
    <v>15</v>
  </rv>
  <rv s="1">
    <fb>0.90900000000000003</fb>
    <v>14</v>
  </rv>
  <rv s="1">
    <fb>0.68599999999999994</fb>
    <v>14</v>
  </rv>
  <rv s="1">
    <fb>0.85499999999999998</fb>
    <v>14</v>
  </rv>
  <rv s="5">
    <v>#VALUE!</v>
    <v>en-US</v>
    <v>9cee0b65-d357-479e-a066-31c634648f47</v>
    <v>536870912</v>
    <v>1</v>
    <v>173</v>
    <v>5</v>
    <v>South Dakota</v>
    <v>7</v>
    <v>8</v>
    <v>Map</v>
    <v>9</v>
    <v>10</v>
    <v>US-SD</v>
    <v>1071</v>
    <v>1072</v>
    <v>1073</v>
    <v>4</v>
    <v>South Dakota is a landlocked state in the North Central region of the United States. It is also part of the Great Plains. South Dakota is named after the Dakota Sioux tribe, which comprises a large portion of the population — with nine ...</v>
    <v>1074</v>
    <v>1075</v>
    <v>1076</v>
    <v>1077</v>
    <v>1082</v>
    <v>1083</v>
    <v>1084</v>
    <v>1085</v>
    <v>1086</v>
    <v>South Dakota</v>
    <v>1087</v>
    <v>1088</v>
    <v>1089</v>
    <v>71</v>
    <v>22</v>
    <v>1090</v>
    <v>24</v>
    <v>133</v>
    <v>413</v>
    <v>603</v>
    <v>1091</v>
    <v>712</v>
    <v>1092</v>
    <v>31</v>
    <v>57</v>
    <v>207</v>
    <v>969</v>
    <v>206</v>
    <v>1093</v>
    <v>921</v>
    <v>South Dakota</v>
    <v>mdp/vdpid/31418</v>
  </rv>
  <rv s="0">
    <v>536870912</v>
    <v>Tennessee</v>
    <v>9bbc9c72-1bf1-4ef6-b66d-a6cdef70f4f3</v>
    <v>en-US</v>
    <v>Map</v>
  </rv>
  <rv s="1">
    <fb>109247</fb>
    <v>11</v>
  </rv>
  <rv s="1">
    <fb>36157</fb>
    <v>11</v>
  </rv>
  <rv s="0">
    <v>536870912</v>
    <v>Nashville, Tennessee</v>
    <v>e2accb9d-ccea-5b7c-7bbc-0db831476d61</v>
    <v>en-US</v>
    <v>Map</v>
  </rv>
  <rv s="1">
    <fb>2504556</fb>
    <v>11</v>
  </rv>
  <rv s="1">
    <fb>2919671</fb>
    <v>11</v>
  </rv>
  <rv s="2">
    <v>39</v>
    <v>9</v>
    <v>174</v>
    <v>7</v>
    <v>0</v>
    <v>Image of Tennessee</v>
  </rv>
  <rv s="0">
    <v>805306368</v>
    <v>Bill Lee (Governor)</v>
    <v>c8026be6-06ae-4f73-a92b-038dc03243c9</v>
    <v>en-US</v>
    <v>Generic</v>
  </rv>
  <rv s="0">
    <v>805306368</v>
    <v>Randy McNally (Lieutenant governor)</v>
    <v>eec243e8-886e-f143-44f8-d1a613dc6e71</v>
    <v>en-US</v>
    <v>Generic</v>
  </rv>
  <rv s="0">
    <v>805306368</v>
    <v>Marsha Blackburn (Senate)</v>
    <v>39117d39-6448-55ce-8537-67a4fd4cf0e9</v>
    <v>en-US</v>
    <v>Generic</v>
  </rv>
  <rv s="0">
    <v>805306368</v>
    <v>Bill Hagerty (Senate)</v>
    <v>48790b3f-20d0-51ec-537c-ca6c25fff853</v>
    <v>en-US</v>
    <v>Generic</v>
  </rv>
  <rv s="3">
    <v>54</v>
  </rv>
  <rv s="4">
    <v>https://www.bing.com/search?q=tennessee&amp;form=skydnc</v>
    <v>Learn more on Bing</v>
  </rv>
  <rv s="1">
    <fb>764</fb>
    <v>12</v>
  </rv>
  <rv s="1">
    <fb>45219</fb>
    <v>12</v>
  </rv>
  <rv s="1">
    <fb>142100</fb>
    <v>12</v>
  </rv>
  <rv s="1">
    <fb>7227750</fb>
    <v>11</v>
  </rv>
  <rv s="1">
    <fb>0.249</fb>
    <v>14</v>
  </rv>
  <rv s="1">
    <fb>0.17100000000000001</fb>
    <v>14</v>
  </rv>
  <rv s="1">
    <fb>0.61</fb>
    <v>14</v>
  </rv>
  <rv s="1">
    <fb>0.78799999999999992</fb>
    <v>14</v>
  </rv>
  <rv s="5">
    <v>#VALUE!</v>
    <v>en-US</v>
    <v>9bbc9c72-1bf1-4ef6-b66d-a6cdef70f4f3</v>
    <v>536870912</v>
    <v>1</v>
    <v>177</v>
    <v>5</v>
    <v>Tennessee</v>
    <v>7</v>
    <v>8</v>
    <v>Map</v>
    <v>9</v>
    <v>10</v>
    <v>US-TN</v>
    <v>1096</v>
    <v>1097</v>
    <v>1098</v>
    <v>4</v>
    <v>Tennessee is a landlocked state in the Southeastern region of the United States. It borders Kentucky to the north, Virginia to the northeast, North Carolina to the east, Georgia, Alabama, and Mississippi to the south, Arkansas to the southwest, ...</v>
    <v>1099</v>
    <v>1100</v>
    <v>1101</v>
    <v>1098</v>
    <v>1106</v>
    <v>1107</v>
    <v>1108</v>
    <v>1109</v>
    <v>1110</v>
    <v>Tennessee</v>
    <v>18</v>
    <v>92</v>
    <v>1111</v>
    <v>62</v>
    <v>204</v>
    <v>379</v>
    <v>413</v>
    <v>1112</v>
    <v>1113</v>
    <v>62</v>
    <v>1093</v>
    <v>208</v>
    <v>1114</v>
    <v>31</v>
    <v>578</v>
    <v>413</v>
    <v>34</v>
    <v>322</v>
    <v>1115</v>
    <v>271</v>
    <v>Tennessee</v>
    <v>mdp/vdpid/33025</v>
  </rv>
  <rv s="0">
    <v>536870912</v>
    <v>Texas</v>
    <v>00a23ccd-3344-461c-8b9f-c2bb55be5815</v>
    <v>en-US</v>
    <v>Map</v>
  </rv>
  <rv s="1">
    <fb>696241</fb>
    <v>11</v>
  </rv>
  <rv s="1">
    <fb>165853</fb>
    <v>11</v>
  </rv>
  <rv s="0">
    <v>536870912</v>
    <v>Austin, Texas</v>
    <v>afd7d7f6-01a2-401c-bb4d-59f7e34d585c</v>
    <v>en-US</v>
    <v>Map</v>
  </rv>
  <rv s="1">
    <fb>9149196</fb>
    <v>11</v>
  </rv>
  <rv s="1">
    <fb>10753629</fb>
    <v>11</v>
  </rv>
  <rv s="2">
    <v>40</v>
    <v>9</v>
    <v>178</v>
    <v>7</v>
    <v>0</v>
    <v>Image of Texas</v>
  </rv>
  <rv s="0">
    <v>536870912</v>
    <v>Houston</v>
    <v>ad99c262-d92e-4e88-87f7-5c66752fec36</v>
    <v>en-US</v>
    <v>Map</v>
  </rv>
  <rv s="0">
    <v>805306368</v>
    <v>Greg Abbott (Governor)</v>
    <v>3ecc1598-f192-4041-68bd-7ee531040fb8</v>
    <v>en-US</v>
    <v>Generic</v>
  </rv>
  <rv s="0">
    <v>805306368</v>
    <v>Dan Patrick (Lieutenant governor)</v>
    <v>81fa6492-e02a-5fd9-98ea-c00f95546796</v>
    <v>en-US</v>
    <v>Generic</v>
  </rv>
  <rv s="0">
    <v>805306368</v>
    <v>John Cornyn (Senate)</v>
    <v>ff5fa806-c9b4-2565-81e0-5b28e9202f84</v>
    <v>en-US</v>
    <v>Generic</v>
  </rv>
  <rv s="0">
    <v>805306368</v>
    <v>Ted Cruz (Senate)</v>
    <v>aa4efb26-8956-237f-ce58-b8bea991d9d1</v>
    <v>en-US</v>
    <v>Generic</v>
  </rv>
  <rv s="3">
    <v>55</v>
  </rv>
  <rv s="4">
    <v>https://www.bing.com/search?q=texas&amp;form=skydnc</v>
    <v>Learn more on Bing</v>
  </rv>
  <rv s="1">
    <fb>882</fb>
    <v>12</v>
  </rv>
  <rv s="1">
    <fb>53207</fb>
    <v>12</v>
  </rv>
  <rv s="1">
    <fb>136000</fb>
    <v>12</v>
  </rv>
  <rv s="1">
    <fb>2.84</fb>
    <v>13</v>
  </rv>
  <rv s="1">
    <fb>31290831</fb>
    <v>11</v>
  </rv>
  <rv s="1">
    <fb>0.10800000000000001</fb>
    <v>14</v>
  </rv>
  <rv s="1">
    <fb>0.125</fb>
    <v>14</v>
  </rv>
  <rv s="1">
    <fb>0.16600000000000001</fb>
    <v>14</v>
  </rv>
  <rv s="1">
    <fb>0.81900000000000006</fb>
    <v>14</v>
  </rv>
  <rv s="1">
    <fb>0.64300000000000002</fb>
    <v>14</v>
  </rv>
  <rv s="1">
    <fb>8.1000000000000003E-2</fb>
    <v>14</v>
  </rv>
  <rv s="6">
    <v>#VALUE!</v>
    <v>en-US</v>
    <v>00a23ccd-3344-461c-8b9f-c2bb55be5815</v>
    <v>536870912</v>
    <v>1</v>
    <v>181</v>
    <v>36</v>
    <v>Texas</v>
    <v>7</v>
    <v>8</v>
    <v>Map</v>
    <v>9</v>
    <v>10</v>
    <v>US-TX</v>
    <v>1118</v>
    <v>1119</v>
    <v>1120</v>
    <v>4</v>
    <v>Texas is the most populous state in the South Central region of the United States. It borders Louisiana to the east, Arkansas to the northeast, Oklahoma to the north, New Mexico to the west, and has an international border with the Mexican ...</v>
    <v>1121</v>
    <v>1122</v>
    <v>1123</v>
    <v>1124</v>
    <v>1129</v>
    <v>1130</v>
    <v>1131</v>
    <v>1132</v>
    <v>1133</v>
    <v>Texas</v>
    <v>1134</v>
    <v>1135</v>
    <v>1136</v>
    <v>1016</v>
    <v>96</v>
    <v>98</v>
    <v>1066</v>
    <v>1137</v>
    <v>1138</v>
    <v>1139</v>
    <v>135</v>
    <v>1140</v>
    <v>31</v>
    <v>1141</v>
    <v>358</v>
    <v>841</v>
    <v>100</v>
    <v>610</v>
    <v>37</v>
    <v>Texas</v>
    <v>mdp/vdpid/33145</v>
  </rv>
  <rv s="0">
    <v>536870912</v>
    <v>Utah</v>
    <v>c6705e44-d27f-4240-95a2-54e802e3b524</v>
    <v>en-US</v>
    <v>Map</v>
  </rv>
  <rv s="1">
    <fb>219653</fb>
    <v>11</v>
  </rv>
  <rv s="1">
    <fb>22662</fb>
    <v>11</v>
  </rv>
  <rv s="0">
    <v>536870912</v>
    <v>Salt Lake City</v>
    <v>520b8048-39fe-4c55-8cbf-a52f9d8756fd</v>
    <v>en-US</v>
    <v>Map</v>
  </rv>
  <rv s="1">
    <fb>906292</fb>
    <v>11</v>
  </rv>
  <rv s="1">
    <fb>1054164</fb>
    <v>11</v>
  </rv>
  <rv s="2">
    <v>41</v>
    <v>9</v>
    <v>182</v>
    <v>7</v>
    <v>0</v>
    <v>Image of Utah</v>
  </rv>
  <rv s="0">
    <v>805306368</v>
    <v>Spencer Cox (Governor)</v>
    <v>b8df5066-fb62-3092-d3d5-fa1d766c0409</v>
    <v>en-US</v>
    <v>Generic</v>
  </rv>
  <rv s="0">
    <v>805306368</v>
    <v>Deidre Henderson (Lieutenant governor)</v>
    <v>644c1a0f-9cad-8cd7-ecd2-aa31b63f12c0</v>
    <v>en-US</v>
    <v>Generic</v>
  </rv>
  <rv s="0">
    <v>805306368</v>
    <v>Mike Lee (Senate)</v>
    <v>f5c85f74-0fbe-5ce1-327f-195c4ef26152</v>
    <v>en-US</v>
    <v>Generic</v>
  </rv>
  <rv s="0">
    <v>805306368</v>
    <v>John Curtis (Senate)</v>
    <v>9fcdc54d-156a-8cde-8ee6-0614a68038b7</v>
    <v>en-US</v>
    <v>Generic</v>
  </rv>
  <rv s="3">
    <v>56</v>
  </rv>
  <rv s="4">
    <v>https://www.bing.com/search?q=utah&amp;form=skydnc</v>
    <v>Learn more on Bing</v>
  </rv>
  <rv s="1">
    <fb>887</fb>
    <v>12</v>
  </rv>
  <rv s="1">
    <fb>60727</fb>
    <v>12</v>
  </rv>
  <rv s="1">
    <fb>215900</fb>
    <v>12</v>
  </rv>
  <rv s="1">
    <fb>3.15</fb>
    <v>13</v>
  </rv>
  <rv s="1">
    <fb>3503613</fb>
    <v>11</v>
  </rv>
  <rv s="1">
    <fb>1.4999999999999999E-2</fb>
    <v>15</v>
  </rv>
  <rv s="1">
    <fb>0.311</fb>
    <v>14</v>
  </rv>
  <rv s="1">
    <fb>1.3000000000000001E-2</fb>
    <v>14</v>
  </rv>
  <rv s="1">
    <fb>0.91200000000000003</fb>
    <v>14</v>
  </rv>
  <rv s="1">
    <fb>0.13699999999999998</fb>
    <v>14</v>
  </rv>
  <rv s="1">
    <fb>0.67700000000000005</fb>
    <v>14</v>
  </rv>
  <rv s="1">
    <fb>0.01</fb>
    <v>14</v>
  </rv>
  <rv s="5">
    <v>#VALUE!</v>
    <v>en-US</v>
    <v>c6705e44-d27f-4240-95a2-54e802e3b524</v>
    <v>536870912</v>
    <v>1</v>
    <v>185</v>
    <v>5</v>
    <v>Utah</v>
    <v>7</v>
    <v>8</v>
    <v>Map</v>
    <v>9</v>
    <v>10</v>
    <v>US-UT</v>
    <v>1144</v>
    <v>1145</v>
    <v>1146</v>
    <v>4</v>
    <v>Utah is a state in the western United States. It is one of the Mountain States, sharing the Four Corners region with Arizona, Colorado, and New Mexico. It also borders Wyoming to the northeast, Idaho to the north, and Nevada to the west. In ...</v>
    <v>1147</v>
    <v>1148</v>
    <v>1149</v>
    <v>1146</v>
    <v>1154</v>
    <v>1155</v>
    <v>1156</v>
    <v>1157</v>
    <v>1158</v>
    <v>Utah</v>
    <v>18</v>
    <v>1159</v>
    <v>1160</v>
    <v>685</v>
    <v>607</v>
    <v>1161</v>
    <v>94</v>
    <v>1162</v>
    <v>1163</v>
    <v>57</v>
    <v>1164</v>
    <v>1165</v>
    <v>1166</v>
    <v>1167</v>
    <v>574</v>
    <v>408</v>
    <v>550</v>
    <v>57</v>
    <v>1164</v>
    <v>73</v>
    <v>Utah</v>
    <v>mdp/vdpid/34626</v>
  </rv>
  <rv s="0">
    <v>536870912</v>
    <v>Vermont</v>
    <v>221864cc-447e-4e78-847c-59e485d73bff</v>
    <v>en-US</v>
    <v>Map</v>
  </rv>
  <rv s="1">
    <fb>24923</fb>
    <v>11</v>
  </rv>
  <rv s="1">
    <fb>1771</fb>
    <v>11</v>
  </rv>
  <rv s="0">
    <v>536870912</v>
    <v>Montpelier, Vermont</v>
    <v>6a01399d-d09a-4bda-4500-012bb3271e9d</v>
    <v>en-US</v>
    <v>Map</v>
  </rv>
  <rv s="1">
    <fb>257167</fb>
    <v>11</v>
  </rv>
  <rv s="1">
    <fb>329525</fb>
    <v>11</v>
  </rv>
  <rv s="2">
    <v>42</v>
    <v>9</v>
    <v>186</v>
    <v>7</v>
    <v>0</v>
    <v>Image of Vermont</v>
  </rv>
  <rv s="0">
    <v>536870912</v>
    <v>Burlington, Vermont</v>
    <v>eebf9ffb-0254-aae7-1bdd-23d4e654a053</v>
    <v>en-US</v>
    <v>Map</v>
  </rv>
  <rv s="0">
    <v>805306368</v>
    <v>Phil Scott (Governor)</v>
    <v>f903a590-d3d7-9d9c-6429-b38ae1a17c71</v>
    <v>en-US</v>
    <v>Generic</v>
  </rv>
  <rv s="0">
    <v>805306368</v>
    <v>John S. Rodgers (Lieutenant governor)</v>
    <v>0f4d7c62-fed7-b470-0abd-dced794f3bca</v>
    <v>en-US</v>
    <v>Generic</v>
  </rv>
  <rv s="0">
    <v>805306368</v>
    <v>Bernie Sanders (Senate)</v>
    <v>d1b180da-aff9-59f7-887e-85784c68fe0c</v>
    <v>en-US</v>
    <v>Generic</v>
  </rv>
  <rv s="0">
    <v>805306368</v>
    <v>Peter Welch (Senate)</v>
    <v>30280e22-a5a0-57c8-a708-8fbde585185c</v>
    <v>en-US</v>
    <v>Generic</v>
  </rv>
  <rv s="3">
    <v>57</v>
  </rv>
  <rv s="4">
    <v>https://www.bing.com/search?q=vermont&amp;form=skydnc</v>
    <v>Learn more on Bing</v>
  </rv>
  <rv s="1">
    <fb>895</fb>
    <v>12</v>
  </rv>
  <rv s="1">
    <fb>55176</fb>
    <v>12</v>
  </rv>
  <rv s="1">
    <fb>217500</fb>
    <v>12</v>
  </rv>
  <rv s="1">
    <fb>648493</fb>
    <v>11</v>
  </rv>
  <rv s="1">
    <fb>0.36</fb>
    <v>14</v>
  </rv>
  <rv s="1">
    <fb>4.2999999999999997E-2</fb>
    <v>14</v>
  </rv>
  <rv s="1">
    <fb>0.66599999999999993</fb>
    <v>14</v>
  </rv>
  <rv s="1">
    <fb>0.1</fb>
    <v>14</v>
  </rv>
  <rv s="1">
    <fb>0.94799999999999995</fb>
    <v>14</v>
  </rv>
  <rv s="7">
    <v>#VALUE!</v>
    <v>en-US</v>
    <v>221864cc-447e-4e78-847c-59e485d73bff</v>
    <v>536870912</v>
    <v>1</v>
    <v>189</v>
    <v>81</v>
    <v>Vermont</v>
    <v>7</v>
    <v>8</v>
    <v>Map</v>
    <v>9</v>
    <v>82</v>
    <v>US-VT</v>
    <v>1170</v>
    <v>1171</v>
    <v>1172</v>
    <v>4</v>
    <v>Vermont is a state in the New England region of the Northeastern United States. It borders Massachusetts to the south, New Hampshire to the east, New York to the west, and the Canadian province of Quebec to the north. According to the most ...</v>
    <v>1173</v>
    <v>1174</v>
    <v>1175</v>
    <v>1176</v>
    <v>1181</v>
    <v>1182</v>
    <v>1183</v>
    <v>1184</v>
    <v>1185</v>
    <v>Vermont</v>
    <v>517</v>
    <v>1186</v>
    <v>349</v>
    <v>865</v>
    <v>379</v>
    <v>33</v>
    <v>1187</v>
    <v>1163</v>
    <v>1188</v>
    <v>414</v>
    <v>413</v>
    <v>1189</v>
    <v>1190</v>
    <v>358</v>
    <v>766</v>
    <v>526</v>
    <v>1191</v>
    <v>210</v>
    <v>Vermont</v>
    <v>mdp/vdpid/35022</v>
  </rv>
  <rv s="0">
    <v>536870912</v>
    <v>Virginia</v>
    <v>7eee9976-e8a7-472c-ada1-007208abd678</v>
    <v>en-US</v>
    <v>Map</v>
  </rv>
  <rv s="1">
    <fb>110862</fb>
    <v>11</v>
  </rv>
  <rv s="1">
    <fb>31132</fb>
    <v>11</v>
  </rv>
  <rv s="0">
    <v>536870912</v>
    <v>Richmond, Virginia</v>
    <v>59263810-6a82-4930-943c-1fa0693b17b0</v>
    <v>en-US</v>
    <v>Map</v>
  </rv>
  <rv s="1">
    <fb>3062783</fb>
    <v>11</v>
  </rv>
  <rv s="1">
    <fb>3491054</fb>
    <v>11</v>
  </rv>
  <rv s="2">
    <v>43</v>
    <v>9</v>
    <v>190</v>
    <v>7</v>
    <v>0</v>
    <v>Image of Virginia</v>
  </rv>
  <rv s="0">
    <v>536870912</v>
    <v>Virginia Beach, Virginia</v>
    <v>6f1fd4dd-40ef-4ec3-989c-108c9b444996</v>
    <v>en-US</v>
    <v>Map</v>
  </rv>
  <rv s="0">
    <v>805306368</v>
    <v>Glenn Youngkin (Governor)</v>
    <v>b2cd9b8a-2e1b-ec73-3904-5c2f449bdf27</v>
    <v>en-US</v>
    <v>Generic</v>
  </rv>
  <rv s="0">
    <v>805306368</v>
    <v>Winsome Earle-Sears (Lieutenant governor)</v>
    <v>a590d049-99df-2c4d-8b48-583d259e49b9</v>
    <v>en-US</v>
    <v>Generic</v>
  </rv>
  <rv s="0">
    <v>805306368</v>
    <v>Mark Warner (Senate)</v>
    <v>bafe4c69-4773-f0a1-de77-fad6715b4e46</v>
    <v>en-US</v>
    <v>Generic</v>
  </rv>
  <rv s="0">
    <v>805306368</v>
    <v>Tim Kaine (Senate)</v>
    <v>9aab4faa-6ba2-9199-1171-b656b550d012</v>
    <v>en-US</v>
    <v>Generic</v>
  </rv>
  <rv s="3">
    <v>58</v>
  </rv>
  <rv s="4">
    <v>https://www.bing.com/search?q=virginia&amp;form=skydnc</v>
    <v>Learn more on Bing</v>
  </rv>
  <rv s="1">
    <fb>1116</fb>
    <v>12</v>
  </rv>
  <rv s="1">
    <fb>65015</fb>
    <v>12</v>
  </rv>
  <rv s="1">
    <fb>245000</fb>
    <v>12</v>
  </rv>
  <rv s="1">
    <fb>8811195</fb>
    <v>11</v>
  </rv>
  <rv s="1">
    <fb>5.0999999999999997E-2</fb>
    <v>14</v>
  </rv>
  <rv s="1">
    <fb>0.36299999999999999</fb>
    <v>14</v>
  </rv>
  <rv s="1">
    <fb>0.88300000000000001</fb>
    <v>14</v>
  </rv>
  <rv s="1">
    <fb>0.64700000000000002</fb>
    <v>14</v>
  </rv>
  <rv s="1">
    <fb>0.70200000000000007</fb>
    <v>14</v>
  </rv>
  <rv s="5">
    <v>#VALUE!</v>
    <v>en-US</v>
    <v>7eee9976-e8a7-472c-ada1-007208abd678</v>
    <v>536870912</v>
    <v>1</v>
    <v>193</v>
    <v>5</v>
    <v>Virginia</v>
    <v>7</v>
    <v>8</v>
    <v>Map</v>
    <v>9</v>
    <v>10</v>
    <v>US-VA</v>
    <v>1194</v>
    <v>1195</v>
    <v>1196</v>
    <v>4</v>
    <v>Virginia, officially the Commonwealth of Virginia, is a state in the Southeastern and Mid-Atlantic regions of the United States between the Atlantic Coast and the Appalachian Mountains. The state's capital is Richmond and its most populous city ...</v>
    <v>1197</v>
    <v>1198</v>
    <v>1199</v>
    <v>1200</v>
    <v>1205</v>
    <v>1206</v>
    <v>1207</v>
    <v>1208</v>
    <v>1209</v>
    <v>Virginia</v>
    <v>18</v>
    <v>229</v>
    <v>1210</v>
    <v>1211</v>
    <v>350</v>
    <v>198</v>
    <v>132</v>
    <v>1212</v>
    <v>265</v>
    <v>1016</v>
    <v>1213</v>
    <v>237</v>
    <v>1214</v>
    <v>31</v>
    <v>634</v>
    <v>172</v>
    <v>464</v>
    <v>322</v>
    <v>1215</v>
    <v>210</v>
    <v>Virginia</v>
    <v>mdp/vdpid/35364</v>
  </rv>
  <rv s="0">
    <v>536870912</v>
    <v>Washington</v>
    <v>982ad551-fd5d-45df-bd70-bf704dd576e4</v>
    <v>en-US</v>
    <v>Map</v>
  </rv>
  <rv s="1">
    <fb>184827</fb>
    <v>11</v>
  </rv>
  <rv s="1">
    <fb>44077</fb>
    <v>11</v>
  </rv>
  <rv s="0">
    <v>536870912</v>
    <v>Olympia, Washington</v>
    <v>25db44e7-f2cd-390a-3d28-310cf208511a</v>
    <v>en-US</v>
    <v>Map</v>
  </rv>
  <rv s="1">
    <fb>2668912</fb>
    <v>11</v>
  </rv>
  <rv s="1">
    <fb>3025685</fb>
    <v>11</v>
  </rv>
  <rv s="2">
    <v>44</v>
    <v>9</v>
    <v>194</v>
    <v>7</v>
    <v>0</v>
    <v>Image of Washington</v>
  </rv>
  <rv s="0">
    <v>536870912</v>
    <v>Seattle</v>
    <v>5fbba6b8-85e1-4d41-9444-d9055436e473</v>
    <v>en-US</v>
    <v>Map</v>
  </rv>
  <rv s="0">
    <v>805306368</v>
    <v>Bob Ferguson (Governor)</v>
    <v>2464edaa-5d9d-80c4-a739-c8facff008c8</v>
    <v>en-US</v>
    <v>Generic</v>
  </rv>
  <rv s="0">
    <v>805306368</v>
    <v>Denny Heck (Lieutenant governor)</v>
    <v>6546aa9c-5751-8959-d6c9-87392e9c5388</v>
    <v>en-US</v>
    <v>Generic</v>
  </rv>
  <rv s="0">
    <v>805306368</v>
    <v>Patty Murray (Senate)</v>
    <v>a41f4cf0-ea3a-051a-5f08-9a4a37c32c6f</v>
    <v>en-US</v>
    <v>Generic</v>
  </rv>
  <rv s="0">
    <v>805306368</v>
    <v>Maria Cantwell (Senate)</v>
    <v>3ef88fef-4a71-bcf5-79f4-52533d720553</v>
    <v>en-US</v>
    <v>Generic</v>
  </rv>
  <rv s="3">
    <v>59</v>
  </rv>
  <rv s="4">
    <v>https://www.bing.com/search?q=washington+state&amp;form=skydnc</v>
    <v>Learn more on Bing</v>
  </rv>
  <rv s="1">
    <fb>1014</fb>
    <v>12</v>
  </rv>
  <rv s="1">
    <fb>61062</fb>
    <v>12</v>
  </rv>
  <rv s="1">
    <fb>259500</fb>
    <v>12</v>
  </rv>
  <rv s="3">
    <v>60</v>
  </rv>
  <rv s="1">
    <fb>7958180</fb>
    <v>11</v>
  </rv>
  <rv s="1">
    <fb>1.9E-2</fb>
    <v>15</v>
  </rv>
  <rv s="1">
    <fb>0.32899999999999996</fb>
    <v>14</v>
  </rv>
  <rv s="1">
    <fb>0.13400000000000001</fb>
    <v>14</v>
  </rv>
  <rv s="1">
    <fb>0.90400000000000003</fb>
    <v>14</v>
  </rv>
  <rv s="1">
    <fb>0.124</fb>
    <v>14</v>
  </rv>
  <rv s="1">
    <fb>0.63500000000000001</fb>
    <v>14</v>
  </rv>
  <rv s="1">
    <fb>0.80299999999999994</fb>
    <v>14</v>
  </rv>
  <rv s="5">
    <v>#VALUE!</v>
    <v>en-US</v>
    <v>982ad551-fd5d-45df-bd70-bf704dd576e4</v>
    <v>536870912</v>
    <v>1</v>
    <v>197</v>
    <v>5</v>
    <v>Washington</v>
    <v>7</v>
    <v>8</v>
    <v>Map</v>
    <v>9</v>
    <v>10</v>
    <v>US-WA</v>
    <v>1218</v>
    <v>1219</v>
    <v>1220</v>
    <v>4</v>
    <v>Washington, officially the State of Washington, is a state in the Pacific Northwest region of the United States. It is often referred to as Washington state to distinguish it from the national capital, both named after George Washington. ...</v>
    <v>1221</v>
    <v>1222</v>
    <v>1223</v>
    <v>1224</v>
    <v>1229</v>
    <v>1230</v>
    <v>1231</v>
    <v>1232</v>
    <v>1233</v>
    <v>Washington</v>
    <v>1234</v>
    <v>1062</v>
    <v>1235</v>
    <v>57</v>
    <v>1041</v>
    <v>1236</v>
    <v>57</v>
    <v>1237</v>
    <v>631</v>
    <v>1238</v>
    <v>1239</v>
    <v>1240</v>
    <v>1241</v>
    <v>656</v>
    <v>764</v>
    <v>199</v>
    <v>494</v>
    <v>174</v>
    <v>1242</v>
    <v>329</v>
    <v>Washington</v>
    <v>mdp/vdpid/35841</v>
  </rv>
  <rv s="0">
    <v>536870912</v>
    <v>West Virginia</v>
    <v>8a47255a-fae3-4faa-aa32-c6f384cb6c1d</v>
    <v>en-US</v>
    <v>Map</v>
  </rv>
  <rv s="1">
    <fb>62755</fb>
    <v>11</v>
  </rv>
  <rv s="1">
    <fb>2544</fb>
    <v>11</v>
  </rv>
  <rv s="0">
    <v>536870912</v>
    <v>Charleston, West Virginia</v>
    <v>e9487e3f-6b62-88d0-8aff-0d14079dbb05</v>
    <v>en-US</v>
    <v>Map</v>
  </rv>
  <rv s="1">
    <fb>740890</fb>
    <v>11</v>
  </rv>
  <rv s="1">
    <fb>886640</fb>
    <v>11</v>
  </rv>
  <rv s="2">
    <v>45</v>
    <v>9</v>
    <v>198</v>
    <v>7</v>
    <v>0</v>
    <v>Image of West Virginia</v>
  </rv>
  <rv s="0">
    <v>805306368</v>
    <v>Patrick Morrisey (Governor)</v>
    <v>33e5019c-35be-4b49-ba21-4e012d31811a</v>
    <v>en-US</v>
    <v>Generic</v>
  </rv>
  <rv s="0">
    <v>805306368</v>
    <v>Randy Smith (Lieutenant governor)</v>
    <v>26857624-61e8-8ece-4d5f-2a8967aabaf9</v>
    <v>en-US</v>
    <v>Generic</v>
  </rv>
  <rv s="0">
    <v>805306368</v>
    <v>Shelley Moore Capito (Senate)</v>
    <v>af8c2cb8-7810-5277-3d3d-2d8b7c039cc1</v>
    <v>en-US</v>
    <v>Generic</v>
  </rv>
  <rv s="0">
    <v>805306368</v>
    <v>Jim Justice (Senate)</v>
    <v>2e8ffe6c-9001-f6f2-0d5c-92e758adb7f5</v>
    <v>en-US</v>
    <v>Generic</v>
  </rv>
  <rv s="3">
    <v>61</v>
  </rv>
  <rv s="4">
    <v>https://www.bing.com/search?q=west+virginia&amp;form=skydnc</v>
    <v>Learn more on Bing</v>
  </rv>
  <rv s="1">
    <fb>643</fb>
    <v>12</v>
  </rv>
  <rv s="1">
    <fb>41751</fb>
    <v>12</v>
  </rv>
  <rv s="1">
    <fb>103800</fb>
    <v>12</v>
  </rv>
  <rv s="3">
    <v>62</v>
  </rv>
  <rv s="1">
    <fb>2.4300000000000002</fb>
    <v>13</v>
  </rv>
  <rv s="1">
    <fb>1769979</fb>
    <v>11</v>
  </rv>
  <rv s="1">
    <fb>-1.2E-2</fb>
    <v>14</v>
  </rv>
  <rv s="1">
    <fb>0.182</fb>
    <v>14</v>
  </rv>
  <rv s="1">
    <fb>2E-3</fb>
    <v>15</v>
  </rv>
  <rv s="1">
    <fb>0.85</fb>
    <v>14</v>
  </rv>
  <rv s="1">
    <fb>0.53900000000000003</fb>
    <v>14</v>
  </rv>
  <rv s="1">
    <fb>0.20600000000000002</fb>
    <v>14</v>
  </rv>
  <rv s="1">
    <fb>0.93599999999999994</fb>
    <v>14</v>
  </rv>
  <rv s="8">
    <v>#VALUE!</v>
    <v>en-US</v>
    <v>8a47255a-fae3-4faa-aa32-c6f384cb6c1d</v>
    <v>536870912</v>
    <v>1</v>
    <v>201</v>
    <v>123</v>
    <v>West Virginia</v>
    <v>7</v>
    <v>8</v>
    <v>Map</v>
    <v>9</v>
    <v>82</v>
    <v>US-WV</v>
    <v>1245</v>
    <v>1246</v>
    <v>1247</v>
    <v>4</v>
    <v>West Virginia is a landlocked state in the Southern and Mid-Atlantic regions of the United States. It is bordered by Pennsylvania and Maryland to the northeast, Virginia to the southeast, Kentucky to the southwest, and Ohio to the northwest. ...</v>
    <v>1248</v>
    <v>1249</v>
    <v>1250</v>
    <v>1247</v>
    <v>1255</v>
    <v>1256</v>
    <v>1257</v>
    <v>1258</v>
    <v>1259</v>
    <v>West Virginia</v>
    <v>1260</v>
    <v>1261</v>
    <v>1262</v>
    <v>1263</v>
    <v>1264</v>
    <v>1265</v>
    <v>321</v>
    <v>766</v>
    <v>712</v>
    <v>319</v>
    <v>1266</v>
    <v>319</v>
    <v>1267</v>
    <v>1041</v>
    <v>33</v>
    <v>1268</v>
    <v>1019</v>
    <v>1269</v>
    <v>210</v>
    <v>West Virginia</v>
    <v>mdp/vdpid/36208</v>
  </rv>
  <rv s="0">
    <v>536870912</v>
    <v>Wisconsin</v>
    <v>cb4d2853-06f4-4467-8e7c-4e31cbb35cb2</v>
    <v>en-US</v>
    <v>Map</v>
  </rv>
  <rv s="1">
    <fb>169640</fb>
    <v>11</v>
  </rv>
  <rv s="1">
    <fb>19274</fb>
    <v>11</v>
  </rv>
  <rv s="0">
    <v>536870912</v>
    <v>Madison, Wisconsin</v>
    <v>65426cc9-93eb-4569-8c2e-3b7c1b070278</v>
    <v>en-US</v>
    <v>Map</v>
  </rv>
  <rv s="1">
    <fb>2299107</fb>
    <v>11</v>
  </rv>
  <rv s="1">
    <fb>2668444</fb>
    <v>11</v>
  </rv>
  <rv s="2">
    <v>46</v>
    <v>9</v>
    <v>202</v>
    <v>7</v>
    <v>0</v>
    <v>Image of Wisconsin</v>
  </rv>
  <rv s="0">
    <v>536870912</v>
    <v>Milwaukee</v>
    <v>9fdb4bdb-6dd4-4dd1-9159-1e8abc73ab65</v>
    <v>en-US</v>
    <v>Map</v>
  </rv>
  <rv s="0">
    <v>805306368</v>
    <v>Tony Evers (Governor)</v>
    <v>a4d4fdcd-e9ac-4b23-8636-43a292c35b66</v>
    <v>en-US</v>
    <v>Generic</v>
  </rv>
  <rv s="0">
    <v>805306368</v>
    <v>Sara Rodriguez (Lieutenant governor)</v>
    <v>4d4d413b-6899-5243-5ea1-275db9b91d6a</v>
    <v>en-US</v>
    <v>Generic</v>
  </rv>
  <rv s="0">
    <v>805306368</v>
    <v>Ron Johnson (Senate)</v>
    <v>9451b73e-ab4e-c84d-6362-8ff17c286608</v>
    <v>en-US</v>
    <v>Generic</v>
  </rv>
  <rv s="0">
    <v>805306368</v>
    <v>Tammy Baldwin (Senate)</v>
    <v>df4c81b2-fcc2-4576-db39-5b0b27c09625</v>
    <v>en-US</v>
    <v>Generic</v>
  </rv>
  <rv s="3">
    <v>63</v>
  </rv>
  <rv s="4">
    <v>https://www.bing.com/search?q=wisconsin&amp;form=skydnc</v>
    <v>Learn more on Bing</v>
  </rv>
  <rv s="1">
    <fb>776</fb>
    <v>12</v>
  </rv>
  <rv s="1">
    <fb>53357</fb>
    <v>12</v>
  </rv>
  <rv s="1">
    <fb>165800</fb>
    <v>12</v>
  </rv>
  <rv s="1">
    <fb>5960975</fb>
    <v>11</v>
  </rv>
  <rv s="1">
    <fb>0.156</fb>
    <v>14</v>
  </rv>
  <rv s="1">
    <fb>1.1000000000000001E-2</fb>
    <v>15</v>
  </rv>
  <rv s="1">
    <fb>0.27800000000000002</fb>
    <v>14</v>
  </rv>
  <rv s="1">
    <fb>0.91</fb>
    <v>14</v>
  </rv>
  <rv s="1">
    <fb>0.67099999999999993</fb>
    <v>14</v>
  </rv>
  <rv s="6">
    <v>#VALUE!</v>
    <v>en-US</v>
    <v>cb4d2853-06f4-4467-8e7c-4e31cbb35cb2</v>
    <v>536870912</v>
    <v>1</v>
    <v>205</v>
    <v>36</v>
    <v>Wisconsin</v>
    <v>7</v>
    <v>8</v>
    <v>Map</v>
    <v>9</v>
    <v>10</v>
    <v>US-WI</v>
    <v>1272</v>
    <v>1273</v>
    <v>1274</v>
    <v>4</v>
    <v>Wisconsin is a state in the Great Lakes region of the Upper Midwest of the United States. It borders Minnesota to the west, Iowa to the southwest, Illinois to the south, Lake Michigan to the east, Michigan to the northeast, and Lake Superior to ...</v>
    <v>1275</v>
    <v>1276</v>
    <v>1277</v>
    <v>1278</v>
    <v>1283</v>
    <v>1284</v>
    <v>1285</v>
    <v>1286</v>
    <v>1287</v>
    <v>Wisconsin</v>
    <v>1261</v>
    <v>1288</v>
    <v>33</v>
    <v>1289</v>
    <v>1290</v>
    <v>262</v>
    <v>1291</v>
    <v>574</v>
    <v>62</v>
    <v>1292</v>
    <v>574</v>
    <v>1293</v>
    <v>31</v>
    <v>68</v>
    <v>413</v>
    <v>234</v>
    <v>240</v>
    <v>995</v>
    <v>37</v>
    <v>Wisconsin</v>
    <v>mdp/vdpid/36684</v>
  </rv>
  <rv s="0">
    <v>536870912</v>
    <v>Wyoming</v>
    <v>bff03ad6-2b7f-400b-a76e-eb9fc4a93961</v>
    <v>en-US</v>
    <v>Map</v>
  </rv>
  <rv s="1">
    <fb>253348</fb>
    <v>11</v>
  </rv>
  <rv s="1">
    <fb>1727</fb>
    <v>11</v>
  </rv>
  <rv s="0">
    <v>536870912</v>
    <v>Cheyenne, Wyoming</v>
    <v>a690e71a-6bc8-a8dc-34d2-c7f6e8026d21</v>
    <v>en-US</v>
    <v>Map</v>
  </rv>
  <rv s="1">
    <fb>226865</fb>
    <v>11</v>
  </rv>
  <rv s="1">
    <fb>270600</fb>
    <v>11</v>
  </rv>
  <rv s="2">
    <v>47</v>
    <v>9</v>
    <v>206</v>
    <v>7</v>
    <v>0</v>
    <v>Image of Wyoming</v>
  </rv>
  <rv s="0">
    <v>805306368</v>
    <v>Mark Gordon (Governor)</v>
    <v>608fad8b-da2e-4675-9119-fd8812a3b598</v>
    <v>en-US</v>
    <v>Generic</v>
  </rv>
  <rv s="0">
    <v>805306368</v>
    <v>Chuck Gray (Secretary of state)</v>
    <v>3e3dd1e8-bff1-ea6b-4644-e56072599e5e</v>
    <v>en-US</v>
    <v>Generic</v>
  </rv>
  <rv s="0">
    <v>805306368</v>
    <v>John Barrasso (Senate)</v>
    <v>35470032-ac83-8e85-8ac5-c147fe3eb100</v>
    <v>en-US</v>
    <v>Generic</v>
  </rv>
  <rv s="0">
    <v>805306368</v>
    <v>Cynthia Lummis (Senate)</v>
    <v>d87d90f3-1f0b-aed1-5bcf-260c1bca1aea</v>
    <v>en-US</v>
    <v>Generic</v>
  </rv>
  <rv s="3">
    <v>64</v>
  </rv>
  <rv s="4">
    <v>https://www.bing.com/search?q=Wyoming+state&amp;form=skydnc</v>
    <v>Learn more on Bing</v>
  </rv>
  <rv s="1">
    <fb>789</fb>
    <v>12</v>
  </rv>
  <rv s="1">
    <fb>58840</fb>
    <v>12</v>
  </rv>
  <rv s="1">
    <fb>194800</fb>
    <v>12</v>
  </rv>
  <rv s="1">
    <fb>587618</fb>
    <v>11</v>
  </rv>
  <rv s="1">
    <fb>2.7000000000000003E-2</fb>
    <v>15</v>
  </rv>
  <rv s="1">
    <fb>0.25700000000000001</fb>
    <v>14</v>
  </rv>
  <rv s="1">
    <fb>0.92700000000000005</fb>
    <v>14</v>
  </rv>
  <rv s="5">
    <v>#VALUE!</v>
    <v>en-US</v>
    <v>bff03ad6-2b7f-400b-a76e-eb9fc4a93961</v>
    <v>536870912</v>
    <v>1</v>
    <v>209</v>
    <v>5</v>
    <v>Wyoming</v>
    <v>7</v>
    <v>8</v>
    <v>Map</v>
    <v>9</v>
    <v>10</v>
    <v>US-WY</v>
    <v>1296</v>
    <v>1297</v>
    <v>1298</v>
    <v>4</v>
    <v>Wyoming is a landlocked state in the Mountain West subregion of the Western United States. It borders Montana to the north and northwest, South Dakota and Nebraska to the east, Idaho to the west, Utah to the southwest, and Colorado to the south. ...</v>
    <v>1299</v>
    <v>1300</v>
    <v>1301</v>
    <v>1298</v>
    <v>1306</v>
    <v>1307</v>
    <v>1308</v>
    <v>1309</v>
    <v>1310</v>
    <v>Wyoming</v>
    <v>91</v>
    <v>629</v>
    <v>1311</v>
    <v>232</v>
    <v>551</v>
    <v>1312</v>
    <v>1167</v>
    <v>1313</v>
    <v>24</v>
    <v>712</v>
    <v>794</v>
    <v>944</v>
    <v>1166</v>
    <v>31</v>
    <v>238</v>
    <v>380</v>
    <v>104</v>
    <v>574</v>
    <v>1314</v>
    <v>73</v>
    <v>Wyoming</v>
    <v>mdp/vdpid/36927</v>
  </rv>
</rvData>
</file>

<file path=xl/richData/rdrichvaluestructure.xml><?xml version="1.0" encoding="utf-8"?>
<rvStructures xmlns="http://schemas.microsoft.com/office/spreadsheetml/2017/richdata" count="10">
  <s t="_linkedentity2">
    <k n="%EntityServiceId" t="i"/>
    <k n="_DisplayString" t="s"/>
    <k n="%EntityId" t="s"/>
    <k n="%EntityCulture" t="s"/>
    <k n="_Icon" t="s"/>
  </s>
  <s t="_formattednumber">
    <k n="_Format" t="spb"/>
  </s>
  <s t="_webimage">
    <k n="WebImageIdentifier" t="i"/>
    <k n="_Provider" t="spb"/>
    <k n="Attribution" t="spb"/>
    <k n="CalcOrigin" t="i"/>
    <k n="ComputedImage" t="b"/>
    <k n="Text" t="s"/>
  </s>
  <s t="_array">
    <k n="array" t="a"/>
  </s>
  <s t="_hyperlink">
    <k n="Address" t="s"/>
    <k n="Text"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Building permits" t="r"/>
    <k n="Capital/Major City" t="r"/>
    <k n="Country/region" t="r"/>
    <k n="Description" t="s"/>
    <k n="Households" t="r"/>
    <k n="Housing units" t="r"/>
    <k n="Image" t="r"/>
    <k n="Largest city" t="r"/>
    <k n="Leader(s)" t="r"/>
    <k n="LearnMoreOnLink" t="r"/>
    <k n="Median gross rent" t="r"/>
    <k n="Median household income" t="r"/>
    <k n="Median value, owner-occupied housing units" t="r"/>
    <k n="Name" t="s"/>
    <k n="Official language" t="r"/>
    <k n="Persons per household" t="r"/>
    <k n="Population" t="r"/>
    <k n="Population change (%)" t="r"/>
    <k n="Population: Age 65+ (%)" t="r"/>
    <k n="Population: American Indian and Alaskan Native (%)" t="r"/>
    <k n="Population: Asian (%)" t="r"/>
    <k n="Population: Bachelor's degree or higher (%)" t="r"/>
    <k n="Population: Black or African American (%)" t="r"/>
    <k n="Population: Foreign born persons (%)" t="r"/>
    <k n="Population: High school graduate or higher (%)" t="r"/>
    <k n="Population: Hispanic or Latino (%)" t="r"/>
    <k n="Population: In civilian labor force (%)" t="r"/>
    <k n="Population: Native Hawaiian and Other Pacific Islander (%)" t="r"/>
    <k n="Population: Persons with a disability (%)" t="r"/>
    <k n="Population: Two or more races (%)" t="r"/>
    <k n="Population: Under age 18 (%)" t="r"/>
    <k n="Population: Under age 5 (%)" t="r"/>
    <k n="Population: White (%)"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Building permits" t="r"/>
    <k n="Capital/Major City" t="r"/>
    <k n="Country/region" t="r"/>
    <k n="Description" t="s"/>
    <k n="Households" t="r"/>
    <k n="Housing units" t="r"/>
    <k n="Image" t="r"/>
    <k n="Largest city" t="r"/>
    <k n="Leader(s)" t="r"/>
    <k n="LearnMoreOnLink" t="r"/>
    <k n="Median gross rent" t="r"/>
    <k n="Median household income" t="r"/>
    <k n="Median value, owner-occupied housing units" t="r"/>
    <k n="Name" t="s"/>
    <k n="Persons per household" t="r"/>
    <k n="Population" t="r"/>
    <k n="Population change (%)" t="r"/>
    <k n="Population: Age 65+ (%)" t="r"/>
    <k n="Population: American Indian and Alaskan Native (%)" t="r"/>
    <k n="Population: Asian (%)" t="r"/>
    <k n="Population: Bachelor's degree or higher (%)" t="r"/>
    <k n="Population: Black or African American (%)" t="r"/>
    <k n="Population: Foreign born persons (%)" t="r"/>
    <k n="Population: High school graduate or higher (%)" t="r"/>
    <k n="Population: Hispanic or Latino (%)" t="r"/>
    <k n="Population: In civilian labor force (%)" t="r"/>
    <k n="Population: Native Hawaiian and Other Pacific Islander (%)" t="r"/>
    <k n="Population: Persons with a disability (%)" t="r"/>
    <k n="Population: Two or more races (%)" t="r"/>
    <k n="Population: Under age 18 (%)" t="r"/>
    <k n="Population: Under age 5 (%)" t="r"/>
    <k n="Population: White (%)"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Building permits" t="r"/>
    <k n="Capital/Major City" t="r"/>
    <k n="Country/region" t="r"/>
    <k n="Description" t="s"/>
    <k n="Households" t="r"/>
    <k n="Housing units" t="r"/>
    <k n="Image" t="r"/>
    <k n="Largest city" t="r"/>
    <k n="Leader(s)" t="r"/>
    <k n="LearnMoreOnLink" t="r"/>
    <k n="Median gross rent" t="r"/>
    <k n="Median household income" t="r"/>
    <k n="Median value, owner-occupied housing units" t="r"/>
    <k n="Name" t="s"/>
    <k n="Persons per household" t="r"/>
    <k n="Population" t="r"/>
    <k n="Population change (%)" t="r"/>
    <k n="Population: Age 65+ (%)" t="r"/>
    <k n="Population: American Indian and Alaskan Native (%)" t="r"/>
    <k n="Population: Asian (%)" t="r"/>
    <k n="Population: Bachelor's degree or higher (%)" t="r"/>
    <k n="Population: Black or African American (%)" t="r"/>
    <k n="Population: Foreign born persons (%)" t="r"/>
    <k n="Population: High school graduate or higher (%)" t="r"/>
    <k n="Population: Hispanic or Latino (%)" t="r"/>
    <k n="Population: In civilian labor force (%)" t="r"/>
    <k n="Population: Persons with a disability (%)" t="r"/>
    <k n="Population: Two or more races (%)" t="r"/>
    <k n="Population: Under age 18 (%)" t="r"/>
    <k n="Population: Under age 5 (%)" t="r"/>
    <k n="Population: White (%)"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Building permits" t="r"/>
    <k n="Capital/Major City" t="r"/>
    <k n="Country/region" t="r"/>
    <k n="Description" t="s"/>
    <k n="Households" t="r"/>
    <k n="Housing units" t="r"/>
    <k n="Image" t="r"/>
    <k n="Largest city" t="r"/>
    <k n="Leader(s)" t="r"/>
    <k n="LearnMoreOnLink" t="r"/>
    <k n="Median gross rent" t="r"/>
    <k n="Median household income" t="r"/>
    <k n="Median value, owner-occupied housing units" t="r"/>
    <k n="Name" t="s"/>
    <k n="Official language" t="r"/>
    <k n="Persons per household" t="r"/>
    <k n="Population" t="r"/>
    <k n="Population change (%)" t="r"/>
    <k n="Population: Age 65+ (%)" t="r"/>
    <k n="Population: American Indian and Alaskan Native (%)" t="r"/>
    <k n="Population: Asian (%)" t="r"/>
    <k n="Population: Bachelor's degree or higher (%)" t="r"/>
    <k n="Population: Black or African American (%)" t="r"/>
    <k n="Population: Foreign born persons (%)" t="r"/>
    <k n="Population: High school graduate or higher (%)" t="r"/>
    <k n="Population: Hispanic or Latino (%)" t="r"/>
    <k n="Population: In civilian labor force (%)" t="r"/>
    <k n="Population: Persons with a disability (%)" t="r"/>
    <k n="Population: Two or more races (%)" t="r"/>
    <k n="Population: Under age 18 (%)" t="r"/>
    <k n="Population: Under age 5 (%)" t="r"/>
    <k n="Population: White (%)"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Building permits" t="r"/>
    <k n="Capital/Major City" t="r"/>
    <k n="Country/region" t="r"/>
    <k n="Description" t="s"/>
    <k n="Households" t="r"/>
    <k n="Housing units" t="r"/>
    <k n="Image" t="r"/>
    <k n="Largest city" t="r"/>
    <k n="Leader(s)" t="r"/>
    <k n="LearnMoreOnLink" t="r"/>
    <k n="Median gross rent" t="r"/>
    <k n="Median household income" t="r"/>
    <k n="Median value, owner-occupied housing units" t="r"/>
    <k n="Name" t="s"/>
    <k n="Official language" t="r"/>
    <k n="Persons per household" t="r"/>
    <k n="Population" t="r"/>
    <k n="Population change (%)" t="r"/>
    <k n="Population: Age 65+ (%)" t="r"/>
    <k n="Population: American Indian and Alaskan Native (%)" t="r"/>
    <k n="Population: Asian (%)" t="r"/>
    <k n="Population: Bachelor's degree or higher (%)" t="r"/>
    <k n="Population: Black or African American (%)" t="r"/>
    <k n="Population: Foreign born persons (%)" t="r"/>
    <k n="Population: High school graduate or higher (%)" t="r"/>
    <k n="Population: Hispanic or Latino (%)" t="r"/>
    <k n="Population: In civilian labor force (%)" t="r"/>
    <k n="Population: Native Hawaiian and Other Pacific Islander (%)" t="r"/>
    <k n="Population: Persons with a disability (%)" t="r"/>
    <k n="Population: Two or more races (%)" t="r"/>
    <k n="Population: Under age 18 (%)" t="r"/>
    <k n="Population: Under age 5 (%)" t="r"/>
    <k n="Population: White (%)" t="r"/>
    <k n="UniqueName" t="s"/>
    <k n="VDPID/VSID" t="s"/>
  </s>
</rvStructures>
</file>

<file path=xl/richData/rdsupportingpropertybag.xml><?xml version="1.0" encoding="utf-8"?>
<supportingPropertyBags xmlns="http://schemas.microsoft.com/office/spreadsheetml/2017/richdata2">
  <spbArrays count="5">
    <a count="50">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Official language</v>
      <v t="s">Population change (%)</v>
      <v t="s">Households</v>
      <v t="s">Housing units</v>
      <v t="s">Persons per household</v>
      <v t="s">Median household income</v>
      <v t="s">Median value, owner-occupied housing units</v>
      <v t="s">Median gross rent</v>
      <v t="s">Building permits</v>
      <v t="s">Population: Under age 5 (%)</v>
      <v t="s">Population: Under age 18 (%)</v>
      <v t="s">Population: Age 65+ (%)</v>
      <v t="s">Population: Persons with a disability (%)</v>
      <v t="s">Population: Bachelor's degree or higher (%)</v>
      <v t="s">Population: High school graduate or higher (%)</v>
      <v t="s">Population: In civilian labor force (%)</v>
      <v t="s">Population: Foreign born persons (%)</v>
      <v t="s">Population: American Indian and Alaskan Native (%)</v>
      <v t="s">Population: Asian (%)</v>
      <v t="s">Population: Black or African American (%)</v>
      <v t="s">Population: Hispanic or Latino (%)</v>
      <v t="s">Population: Native Hawaiian and Other Pacific Islander (%)</v>
      <v t="s">Population: White (%)</v>
      <v t="s">Population: Two or more races (%)</v>
      <v t="s">Time zone(s)</v>
      <v t="s">_Flags</v>
      <v t="s">VDPID/VSID</v>
      <v t="s">UniqueName</v>
      <v t="s">_DisplayString</v>
      <v t="s">LearnMoreOnLink</v>
      <v t="s">Image</v>
      <v t="s">Description</v>
    </a>
    <a count="49">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Population change (%)</v>
      <v t="s">Households</v>
      <v t="s">Housing units</v>
      <v t="s">Persons per household</v>
      <v t="s">Median household income</v>
      <v t="s">Median value, owner-occupied housing units</v>
      <v t="s">Median gross rent</v>
      <v t="s">Building permits</v>
      <v t="s">Population: Under age 5 (%)</v>
      <v t="s">Population: Under age 18 (%)</v>
      <v t="s">Population: Age 65+ (%)</v>
      <v t="s">Population: Persons with a disability (%)</v>
      <v t="s">Population: Bachelor's degree or higher (%)</v>
      <v t="s">Population: High school graduate or higher (%)</v>
      <v t="s">Population: In civilian labor force (%)</v>
      <v t="s">Population: Foreign born persons (%)</v>
      <v t="s">Population: American Indian and Alaskan Native (%)</v>
      <v t="s">Population: Asian (%)</v>
      <v t="s">Population: Black or African American (%)</v>
      <v t="s">Population: Hispanic or Latino (%)</v>
      <v t="s">Population: Native Hawaiian and Other Pacific Islander (%)</v>
      <v t="s">Population: White (%)</v>
      <v t="s">Population: Two or more races (%)</v>
      <v t="s">Time zone(s)</v>
      <v t="s">_Flags</v>
      <v t="s">VDPID/VSID</v>
      <v t="s">UniqueName</v>
      <v t="s">_DisplayString</v>
      <v t="s">LearnMoreOnLink</v>
      <v t="s">Image</v>
      <v t="s">Description</v>
    </a>
    <a count="48">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Population change (%)</v>
      <v t="s">Households</v>
      <v t="s">Housing units</v>
      <v t="s">Persons per household</v>
      <v t="s">Median household income</v>
      <v t="s">Median value, owner-occupied housing units</v>
      <v t="s">Median gross rent</v>
      <v t="s">Building permits</v>
      <v t="s">Population: Under age 5 (%)</v>
      <v t="s">Population: Under age 18 (%)</v>
      <v t="s">Population: Age 65+ (%)</v>
      <v t="s">Population: Persons with a disability (%)</v>
      <v t="s">Population: Bachelor's degree or higher (%)</v>
      <v t="s">Population: High school graduate or higher (%)</v>
      <v t="s">Population: In civilian labor force (%)</v>
      <v t="s">Population: Foreign born persons (%)</v>
      <v t="s">Population: American Indian and Alaskan Native (%)</v>
      <v t="s">Population: Asian (%)</v>
      <v t="s">Population: Black or African American (%)</v>
      <v t="s">Population: Hispanic or Latino (%)</v>
      <v t="s">Population: White (%)</v>
      <v t="s">Population: Two or more races (%)</v>
      <v t="s">Time zone(s)</v>
      <v t="s">_Flags</v>
      <v t="s">VDPID/VSID</v>
      <v t="s">UniqueName</v>
      <v t="s">_DisplayString</v>
      <v t="s">LearnMoreOnLink</v>
      <v t="s">Image</v>
      <v t="s">Description</v>
    </a>
    <a count="49">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Official language</v>
      <v t="s">Population change (%)</v>
      <v t="s">Households</v>
      <v t="s">Housing units</v>
      <v t="s">Persons per household</v>
      <v t="s">Median household income</v>
      <v t="s">Median value, owner-occupied housing units</v>
      <v t="s">Median gross rent</v>
      <v t="s">Building permits</v>
      <v t="s">Population: Under age 5 (%)</v>
      <v t="s">Population: Under age 18 (%)</v>
      <v t="s">Population: Age 65+ (%)</v>
      <v t="s">Population: Persons with a disability (%)</v>
      <v t="s">Population: Bachelor's degree or higher (%)</v>
      <v t="s">Population: High school graduate or higher (%)</v>
      <v t="s">Population: In civilian labor force (%)</v>
      <v t="s">Population: Foreign born persons (%)</v>
      <v t="s">Population: American Indian and Alaskan Native (%)</v>
      <v t="s">Population: Asian (%)</v>
      <v t="s">Population: Black or African American (%)</v>
      <v t="s">Population: Hispanic or Latino (%)</v>
      <v t="s">Population: White (%)</v>
      <v t="s">Population: Two or more races (%)</v>
      <v t="s">Time zone(s)</v>
      <v t="s">_Flags</v>
      <v t="s">VDPID/VSID</v>
      <v t="s">UniqueName</v>
      <v t="s">_DisplayString</v>
      <v t="s">LearnMoreOnLink</v>
      <v t="s">Image</v>
      <v t="s">Description</v>
    </a>
    <a count="49">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Official language</v>
      <v t="s">Population change (%)</v>
      <v t="s">Households</v>
      <v t="s">Housing units</v>
      <v t="s">Persons per household</v>
      <v t="s">Median household income</v>
      <v t="s">Median value, owner-occupied housing units</v>
      <v t="s">Median gross rent</v>
      <v t="s">Building permits</v>
      <v t="s">Population: Under age 5 (%)</v>
      <v t="s">Population: Under age 18 (%)</v>
      <v t="s">Population: Age 65+ (%)</v>
      <v t="s">Population: Persons with a disability (%)</v>
      <v t="s">Population: Bachelor's degree or higher (%)</v>
      <v t="s">Population: High school graduate or higher (%)</v>
      <v t="s">Population: In civilian labor force (%)</v>
      <v t="s">Population: Foreign born persons (%)</v>
      <v t="s">Population: American Indian and Alaskan Native (%)</v>
      <v t="s">Population: Asian (%)</v>
      <v t="s">Population: Black or African American (%)</v>
      <v t="s">Population: Hispanic or Latino (%)</v>
      <v t="s">Population: Native Hawaiian and Other Pacific Islander (%)</v>
      <v t="s">Population: White (%)</v>
      <v t="s">Population: Two or more races (%)</v>
      <v t="s">_Flags</v>
      <v t="s">VDPID/VSID</v>
      <v t="s">UniqueName</v>
      <v t="s">_DisplayString</v>
      <v t="s">LearnMoreOnLink</v>
      <v t="s">Image</v>
      <v t="s">Description</v>
    </a>
  </spbArrays>
  <spbData count="210">
    <spb s="0">
      <v xml:space="preserve">Wikipedia	</v>
      <v xml:space="preserve">CC BY-SA 3.0	</v>
      <v xml:space="preserve">https://en.wikipedia.org/wiki/Alabama	</v>
      <v xml:space="preserve">https://creativecommons.org/licenses/by-sa/3.0	</v>
    </spb>
    <spb s="0">
      <v xml:space="preserve">US Census	</v>
      <v xml:space="preserve">	</v>
      <v xml:space="preserve">https://www.census.gov/popest/data/state/asrh/2014/files/SC-EST2014-AGESEX-CIV.csv	</v>
      <v xml:space="preserve">	</v>
    </spb>
    <spb s="0">
      <v xml:space="preserve">Wikipedia	</v>
      <v xml:space="preserve">CC-BY-SA	</v>
      <v xml:space="preserve">http://en.wikipedia.org/wiki/Alabama	</v>
      <v xml:space="preserve">http://creativecommons.org/licenses/by-sa/3.0/	</v>
    </spb>
    <spb s="0">
      <v xml:space="preserve">Wikipedia	US Census	US Census	</v>
      <v xml:space="preserve">CC-BY-SA			</v>
      <v xml:space="preserve">http://en.wikipedia.org/wiki/Alabama	https://www.census.gov/popest/data/state/asrh/2014/files/SC-EST2014-AGESEX-CIV.csv	http://www.census.gov/quickfacts/table/WTN220212/01	</v>
      <v xml:space="preserve">http://creativecommons.org/licenses/by-sa/3.0/			</v>
    </spb>
    <spb s="1">
      <v>0</v>
      <v>0</v>
      <v>1</v>
      <v>0</v>
      <v>0</v>
      <v>0</v>
      <v>2</v>
      <v>0</v>
      <v>1</v>
      <v>0</v>
      <v>1</v>
      <v>3</v>
      <v>0</v>
      <v>1</v>
      <v>1</v>
      <v>1</v>
      <v>1</v>
      <v>3</v>
      <v>1</v>
      <v>1</v>
      <v>1</v>
      <v>1</v>
      <v>1</v>
      <v>1</v>
      <v>1</v>
      <v>1</v>
      <v>1</v>
      <v>3</v>
      <v>1</v>
      <v>1</v>
      <v>1</v>
      <v>1</v>
    </spb>
    <spb s="2">
      <v>0</v>
      <v>Name</v>
      <v>LearnMoreOnLink</v>
    </spb>
    <spb s="3">
      <v>0</v>
      <v>0</v>
      <v>0</v>
    </spb>
    <spb s="4">
      <v>6</v>
      <v>6</v>
      <v>6</v>
    </spb>
    <spb s="5">
      <v>1</v>
      <v>2</v>
    </spb>
    <spb s="6">
      <v>https://www.bing.com</v>
      <v>https://www.bing.com/th?id=Ga%5Cbing_yt.png&amp;w=100&amp;h=40&amp;c=0&amp;pid=0.1</v>
      <v>Powered by Bing</v>
    </spb>
    <spb s="7">
      <v>square km</v>
      <v>2015</v>
      <v>2024</v>
      <v>2016</v>
      <v>2016</v>
      <v>2015</v>
      <v>2015</v>
      <v>2010, 2016</v>
      <v>persons (2015)</v>
      <v>persons (2015)</v>
      <v>2015</v>
      <v>2015</v>
      <v>2015</v>
      <v>2015</v>
      <v>persons (2015)</v>
      <v>persons (2015)</v>
      <v>2015</v>
      <v>persons age 16+, 2015</v>
      <v>persons (2015)</v>
      <v>under age 65, 2015</v>
      <v>2015</v>
      <v>persons age 25+, 2015</v>
      <v>persons (2015)</v>
      <v>persons (2015)</v>
      <v>persons (2015)</v>
    </spb>
    <spb s="8">
      <v>3</v>
    </spb>
    <spb s="8">
      <v>4</v>
    </spb>
    <spb s="8">
      <v>5</v>
    </spb>
    <spb s="8">
      <v>6</v>
    </spb>
    <spb s="8">
      <v>7</v>
    </spb>
    <spb s="0">
      <v xml:space="preserve">Wikipedia	</v>
      <v xml:space="preserve">CC BY-SA 3.0	</v>
      <v xml:space="preserve">https://en.wikipedia.org/wiki/Arizona	</v>
      <v xml:space="preserve">https://creativecommons.org/licenses/by-sa/3.0	</v>
    </spb>
    <spb s="0">
      <v xml:space="preserve">Wikipedia	</v>
      <v xml:space="preserve">CC-BY-SA	</v>
      <v xml:space="preserve">http://en.wikipedia.org/wiki/Arizona	</v>
      <v xml:space="preserve">http://creativecommons.org/licenses/by-sa/3.0/	</v>
    </spb>
    <spb s="0">
      <v xml:space="preserve">Wikipedia	US Census	US Census	</v>
      <v xml:space="preserve">CC-BY-SA			</v>
      <v xml:space="preserve">http://en.wikipedia.org/wiki/Arizona	https://www.census.gov/popest/data/state/asrh/2014/files/SC-EST2014-AGESEX-CIV.csv	http://www.census.gov/quickfacts/table/age775215/04	</v>
      <v xml:space="preserve">http://creativecommons.org/licenses/by-sa/3.0/			</v>
    </spb>
    <spb s="1">
      <v>16</v>
      <v>16</v>
      <v>1</v>
      <v>16</v>
      <v>16</v>
      <v>16</v>
      <v>17</v>
      <v>16</v>
      <v>1</v>
      <v>16</v>
      <v>1</v>
      <v>18</v>
      <v>16</v>
      <v>1</v>
      <v>1</v>
      <v>1</v>
      <v>1</v>
      <v>18</v>
      <v>1</v>
      <v>1</v>
      <v>1</v>
      <v>1</v>
      <v>1</v>
      <v>1</v>
      <v>1</v>
      <v>1</v>
      <v>1</v>
      <v>18</v>
      <v>1</v>
      <v>1</v>
      <v>1</v>
      <v>1</v>
    </spb>
    <spb s="0">
      <v xml:space="preserve">Wikipedia	</v>
      <v xml:space="preserve">CC BY-SA 3.0	</v>
      <v xml:space="preserve">https://en.wikipedia.org/wiki/Arkansas	</v>
      <v xml:space="preserve">https://creativecommons.org/licenses/by-sa/3.0	</v>
    </spb>
    <spb s="0">
      <v xml:space="preserve">Wikipedia	</v>
      <v xml:space="preserve">CC-BY-SA	</v>
      <v xml:space="preserve">http://en.wikipedia.org/wiki/Arkansas	</v>
      <v xml:space="preserve">http://creativecommons.org/licenses/by-sa/3.0/	</v>
    </spb>
    <spb s="0">
      <v xml:space="preserve">Wikipedia	US Census	US Census	</v>
      <v xml:space="preserve">CC-BY-SA			</v>
      <v xml:space="preserve">http://en.wikipedia.org/wiki/Arkansas	https://www.census.gov/popest/data/state/asrh/2014/files/SC-EST2014-AGESEX-CIV.csv	http://www.census.gov/quickfacts/table/VET605214/05	</v>
      <v xml:space="preserve">http://creativecommons.org/licenses/by-sa/3.0/			</v>
    </spb>
    <spb s="1">
      <v>20</v>
      <v>20</v>
      <v>1</v>
      <v>20</v>
      <v>20</v>
      <v>20</v>
      <v>21</v>
      <v>20</v>
      <v>1</v>
      <v>20</v>
      <v>1</v>
      <v>22</v>
      <v>20</v>
      <v>1</v>
      <v>1</v>
      <v>1</v>
      <v>1</v>
      <v>22</v>
      <v>1</v>
      <v>1</v>
      <v>1</v>
      <v>1</v>
      <v>1</v>
      <v>1</v>
      <v>1</v>
      <v>1</v>
      <v>1</v>
      <v>22</v>
      <v>1</v>
      <v>1</v>
      <v>1</v>
      <v>1</v>
    </spb>
    <spb s="0">
      <v xml:space="preserve">Wikipedia	</v>
      <v xml:space="preserve">CC BY-SA 3.0	</v>
      <v xml:space="preserve">https://en.wikipedia.org/wiki/California	</v>
      <v xml:space="preserve">https://creativecommons.org/licenses/by-sa/3.0	</v>
    </spb>
    <spb s="0">
      <v xml:space="preserve">Wikipedia	</v>
      <v xml:space="preserve">CC-BY-SA	</v>
      <v xml:space="preserve">http://en.wikipedia.org/wiki/California	</v>
      <v xml:space="preserve">http://creativecommons.org/licenses/by-sa/3.0/	</v>
    </spb>
    <spb s="0">
      <v xml:space="preserve">Wikipedia	US Census	US Census	</v>
      <v xml:space="preserve">CC-BY-SA			</v>
      <v xml:space="preserve">http://en.wikipedia.org/wiki/California	https://www.census.gov/popest/data/state/asrh/2014/files/SC-EST2014-AGESEX-CIV.csv	http://www.census.gov/quickfacts/table/VET605214/06	</v>
      <v xml:space="preserve">http://creativecommons.org/licenses/by-sa/3.0/			</v>
    </spb>
    <spb s="1">
      <v>24</v>
      <v>24</v>
      <v>1</v>
      <v>24</v>
      <v>24</v>
      <v>24</v>
      <v>25</v>
      <v>24</v>
      <v>1</v>
      <v>24</v>
      <v>1</v>
      <v>26</v>
      <v>24</v>
      <v>1</v>
      <v>1</v>
      <v>1</v>
      <v>1</v>
      <v>26</v>
      <v>1</v>
      <v>1</v>
      <v>1</v>
      <v>1</v>
      <v>1</v>
      <v>1</v>
      <v>1</v>
      <v>1</v>
      <v>1</v>
      <v>26</v>
      <v>1</v>
      <v>1</v>
      <v>1</v>
      <v>1</v>
    </spb>
    <spb s="0">
      <v xml:space="preserve">Wikipedia	</v>
      <v xml:space="preserve">CC BY-SA 3.0	</v>
      <v xml:space="preserve">https://en.wikipedia.org/wiki/Colorado	</v>
      <v xml:space="preserve">https://creativecommons.org/licenses/by-sa/3.0	</v>
    </spb>
    <spb s="0">
      <v xml:space="preserve">Wikipedia	</v>
      <v xml:space="preserve">CC-BY-SA	</v>
      <v xml:space="preserve">http://en.wikipedia.org/wiki/Colorado	</v>
      <v xml:space="preserve">http://creativecommons.org/licenses/by-sa/3.0/	</v>
    </spb>
    <spb s="0">
      <v xml:space="preserve">Wikipedia	US Census	US Census	</v>
      <v xml:space="preserve">CC-BY-SA			</v>
      <v xml:space="preserve">http://en.wikipedia.org/wiki/Colorado	https://www.census.gov/popest/data/state/asrh/2014/files/SC-EST2014-AGESEX-CIV.csv	http://www.census.gov/quickfacts/table/WTN220212/08	</v>
      <v xml:space="preserve">http://creativecommons.org/licenses/by-sa/3.0/			</v>
    </spb>
    <spb s="1">
      <v>28</v>
      <v>28</v>
      <v>1</v>
      <v>28</v>
      <v>28</v>
      <v>28</v>
      <v>29</v>
      <v>28</v>
      <v>1</v>
      <v>28</v>
      <v>1</v>
      <v>30</v>
      <v>28</v>
      <v>1</v>
      <v>1</v>
      <v>1</v>
      <v>1</v>
      <v>30</v>
      <v>1</v>
      <v>1</v>
      <v>1</v>
      <v>1</v>
      <v>1</v>
      <v>1</v>
      <v>1</v>
      <v>1</v>
      <v>1</v>
      <v>30</v>
      <v>1</v>
      <v>1</v>
      <v>1</v>
      <v>1</v>
    </spb>
    <spb s="0">
      <v xml:space="preserve">Wikipedia	</v>
      <v xml:space="preserve">CC BY-SA 3.0	</v>
      <v xml:space="preserve">https://en.wikipedia.org/wiki/Connecticut	</v>
      <v xml:space="preserve">https://creativecommons.org/licenses/by-sa/3.0	</v>
    </spb>
    <spb s="0">
      <v xml:space="preserve">Wikipedia	</v>
      <v xml:space="preserve">CC-BY-SA	</v>
      <v xml:space="preserve">http://en.wikipedia.org/wiki/Connecticut	</v>
      <v xml:space="preserve">http://creativecommons.org/licenses/by-sa/3.0/	</v>
    </spb>
    <spb s="0">
      <v xml:space="preserve">Wikipedia	US Census	Bookdepository	</v>
      <v xml:space="preserve">CC-BY-SA			</v>
      <v xml:space="preserve">http://en.wikipedia.org/wiki/Connecticut	https://www.census.gov/popest/data/state/asrh/2014/files/SC-EST2014-AGESEX-CIV.csv	https://www.bookdepository.com/author/Etc-Connecticut-Laws	</v>
      <v xml:space="preserve">http://creativecommons.org/licenses/by-sa/3.0/			</v>
    </spb>
    <spb s="1">
      <v>32</v>
      <v>32</v>
      <v>1</v>
      <v>32</v>
      <v>32</v>
      <v>32</v>
      <v>33</v>
      <v>32</v>
      <v>1</v>
      <v>32</v>
      <v>1</v>
      <v>34</v>
      <v>32</v>
      <v>1</v>
      <v>1</v>
      <v>1</v>
      <v>1</v>
      <v>34</v>
      <v>1</v>
      <v>1</v>
      <v>1</v>
      <v>1</v>
      <v>1</v>
      <v>1</v>
      <v>1</v>
      <v>1</v>
      <v>1</v>
      <v>34</v>
      <v>1</v>
      <v>1</v>
      <v>1</v>
      <v>1</v>
    </spb>
    <spb s="2">
      <v>1</v>
      <v>Name</v>
      <v>LearnMoreOnLink</v>
    </spb>
    <spb s="0">
      <v xml:space="preserve">Wikipedia	</v>
      <v xml:space="preserve">CC BY-SA 3.0	</v>
      <v xml:space="preserve">https://en.wikipedia.org/wiki/Delaware	</v>
      <v xml:space="preserve">https://creativecommons.org/licenses/by-sa/3.0	</v>
    </spb>
    <spb s="0">
      <v xml:space="preserve">Wikipedia	</v>
      <v xml:space="preserve">CC-BY-SA	</v>
      <v xml:space="preserve">http://en.wikipedia.org/wiki/Delaware	</v>
      <v xml:space="preserve">http://creativecommons.org/licenses/by-sa/3.0/	</v>
    </spb>
    <spb s="0">
      <v xml:space="preserve">Wikipedia	US Census	US Census	</v>
      <v xml:space="preserve">CC-BY-SA			</v>
      <v xml:space="preserve">http://en.wikipedia.org/wiki/Delaware	https://www.census.gov/popest/data/state/asrh/2014/files/SC-EST2014-AGESEX-CIV.csv	http://www.census.gov/quickfacts/table/WTN220212/10	</v>
      <v xml:space="preserve">http://creativecommons.org/licenses/by-sa/3.0/			</v>
    </spb>
    <spb s="1">
      <v>37</v>
      <v>37</v>
      <v>1</v>
      <v>37</v>
      <v>37</v>
      <v>37</v>
      <v>38</v>
      <v>37</v>
      <v>1</v>
      <v>37</v>
      <v>1</v>
      <v>39</v>
      <v>37</v>
      <v>1</v>
      <v>1</v>
      <v>1</v>
      <v>1</v>
      <v>39</v>
      <v>1</v>
      <v>1</v>
      <v>1</v>
      <v>1</v>
      <v>1</v>
      <v>1</v>
      <v>1</v>
      <v>1</v>
      <v>1</v>
      <v>39</v>
      <v>1</v>
      <v>1</v>
      <v>1</v>
      <v>1</v>
    </spb>
    <spb s="0">
      <v xml:space="preserve">Wikipedia	</v>
      <v xml:space="preserve">CC BY-SA 3.0	</v>
      <v xml:space="preserve">https://en.wikipedia.org/wiki/Florida	</v>
      <v xml:space="preserve">https://creativecommons.org/licenses/by-sa/3.0	</v>
    </spb>
    <spb s="0">
      <v xml:space="preserve">Wikipedia	</v>
      <v xml:space="preserve">CC-BY-SA	</v>
      <v xml:space="preserve">http://en.wikipedia.org/wiki/Florida	</v>
      <v xml:space="preserve">http://creativecommons.org/licenses/by-sa/3.0/	</v>
    </spb>
    <spb s="0">
      <v xml:space="preserve">Wikipedia	US Census	US Census	</v>
      <v xml:space="preserve">CC-BY-SA			</v>
      <v xml:space="preserve">http://en.wikipedia.org/wiki/Florida	https://www.census.gov/popest/data/state/asrh/2014/files/SC-EST2014-AGESEX-CIV.csv	http://www.census.gov/quickfacts/table/WTN220212/12	</v>
      <v xml:space="preserve">http://creativecommons.org/licenses/by-sa/3.0/			</v>
    </spb>
    <spb s="1">
      <v>41</v>
      <v>41</v>
      <v>1</v>
      <v>41</v>
      <v>41</v>
      <v>41</v>
      <v>42</v>
      <v>41</v>
      <v>1</v>
      <v>41</v>
      <v>1</v>
      <v>43</v>
      <v>41</v>
      <v>1</v>
      <v>1</v>
      <v>1</v>
      <v>1</v>
      <v>43</v>
      <v>1</v>
      <v>1</v>
      <v>1</v>
      <v>1</v>
      <v>1</v>
      <v>1</v>
      <v>1</v>
      <v>1</v>
      <v>1</v>
      <v>43</v>
      <v>1</v>
      <v>1</v>
      <v>1</v>
      <v>1</v>
    </spb>
    <spb s="0">
      <v xml:space="preserve">Wikipedia	</v>
      <v xml:space="preserve">CC BY-SA 3.0	</v>
      <v xml:space="preserve">https://en.wikipedia.org/wiki/Georgia_(U.S._state)	</v>
      <v xml:space="preserve">https://creativecommons.org/licenses/by-sa/3.0	</v>
    </spb>
    <spb s="0">
      <v xml:space="preserve">Wikipedia	</v>
      <v xml:space="preserve">CC-BY-SA	</v>
      <v xml:space="preserve">http://en.wikipedia.org/wiki/Georgia_(U.S._state)	</v>
      <v xml:space="preserve">http://creativecommons.org/licenses/by-sa/3.0/	</v>
    </spb>
    <spb s="0">
      <v xml:space="preserve">Wikipedia	US Census	US Census	</v>
      <v xml:space="preserve">CC-BY-SA			</v>
      <v xml:space="preserve">http://en.wikipedia.org/wiki/Georgia_(U.S._state)	https://www.census.gov/popest/data/state/asrh/2014/files/SC-EST2014-AGESEX-CIV.csv	http://www.census.gov/quickfacts/table/WTN220212/13	</v>
      <v xml:space="preserve">http://creativecommons.org/licenses/by-sa/3.0/			</v>
    </spb>
    <spb s="1">
      <v>45</v>
      <v>45</v>
      <v>1</v>
      <v>45</v>
      <v>45</v>
      <v>45</v>
      <v>46</v>
      <v>45</v>
      <v>1</v>
      <v>45</v>
      <v>1</v>
      <v>47</v>
      <v>45</v>
      <v>1</v>
      <v>1</v>
      <v>1</v>
      <v>1</v>
      <v>47</v>
      <v>1</v>
      <v>1</v>
      <v>1</v>
      <v>1</v>
      <v>1</v>
      <v>1</v>
      <v>1</v>
      <v>1</v>
      <v>1</v>
      <v>47</v>
      <v>1</v>
      <v>1</v>
      <v>1</v>
      <v>1</v>
    </spb>
    <spb s="0">
      <v xml:space="preserve">Wikipedia	</v>
      <v xml:space="preserve">CC BY-SA 3.0	</v>
      <v xml:space="preserve">https://en.wikipedia.org/wiki/Idaho	</v>
      <v xml:space="preserve">https://creativecommons.org/licenses/by-sa/3.0	</v>
    </spb>
    <spb s="0">
      <v xml:space="preserve">Wikipedia	</v>
      <v xml:space="preserve">CC-BY-SA	</v>
      <v xml:space="preserve">http://en.wikipedia.org/wiki/Idaho	</v>
      <v xml:space="preserve">http://creativecommons.org/licenses/by-sa/3.0/	</v>
    </spb>
    <spb s="0">
      <v xml:space="preserve">Wikipedia	US Census	US Census	</v>
      <v xml:space="preserve">CC-BY-SA			</v>
      <v xml:space="preserve">http://en.wikipedia.org/wiki/Idaho	https://www.census.gov/popest/data/state/asrh/2014/files/SC-EST2014-AGESEX-CIV.csv	http://www.census.gov/quickfacts/table/WTN220212/16	</v>
      <v xml:space="preserve">http://creativecommons.org/licenses/by-sa/3.0/			</v>
    </spb>
    <spb s="1">
      <v>49</v>
      <v>49</v>
      <v>1</v>
      <v>49</v>
      <v>49</v>
      <v>49</v>
      <v>50</v>
      <v>49</v>
      <v>1</v>
      <v>49</v>
      <v>1</v>
      <v>51</v>
      <v>49</v>
      <v>1</v>
      <v>1</v>
      <v>1</v>
      <v>1</v>
      <v>51</v>
      <v>1</v>
      <v>1</v>
      <v>1</v>
      <v>1</v>
      <v>1</v>
      <v>1</v>
      <v>1</v>
      <v>1</v>
      <v>1</v>
      <v>51</v>
      <v>1</v>
      <v>1</v>
      <v>1</v>
      <v>1</v>
    </spb>
    <spb s="0">
      <v xml:space="preserve">Wikipedia	</v>
      <v xml:space="preserve">CC BY-SA 3.0	</v>
      <v xml:space="preserve">https://en.wikipedia.org/wiki/Illinois	</v>
      <v xml:space="preserve">https://creativecommons.org/licenses/by-sa/3.0	</v>
    </spb>
    <spb s="0">
      <v xml:space="preserve">Wikipedia	</v>
      <v xml:space="preserve">CC-BY-SA	</v>
      <v xml:space="preserve">http://en.wikipedia.org/wiki/Illinois	</v>
      <v xml:space="preserve">http://creativecommons.org/licenses/by-sa/3.0/	</v>
    </spb>
    <spb s="0">
      <v xml:space="preserve">Wikipedia	US Census	US Census	</v>
      <v xml:space="preserve">CC-BY-SA			</v>
      <v xml:space="preserve">http://en.wikipedia.org/wiki/Illinois	https://www.census.gov/popest/data/state/asrh/2014/files/SC-EST2014-AGESEX-CIV.csv	http://www.census.gov/quickfacts/table/WTN220212/17	</v>
      <v xml:space="preserve">http://creativecommons.org/licenses/by-sa/3.0/			</v>
    </spb>
    <spb s="1">
      <v>53</v>
      <v>53</v>
      <v>1</v>
      <v>53</v>
      <v>53</v>
      <v>53</v>
      <v>54</v>
      <v>53</v>
      <v>1</v>
      <v>53</v>
      <v>1</v>
      <v>55</v>
      <v>53</v>
      <v>1</v>
      <v>1</v>
      <v>1</v>
      <v>1</v>
      <v>55</v>
      <v>1</v>
      <v>1</v>
      <v>1</v>
      <v>1</v>
      <v>1</v>
      <v>1</v>
      <v>1</v>
      <v>1</v>
      <v>1</v>
      <v>55</v>
      <v>1</v>
      <v>1</v>
      <v>1</v>
      <v>1</v>
    </spb>
    <spb s="0">
      <v xml:space="preserve">Wikipedia	</v>
      <v xml:space="preserve">CC BY-SA 3.0	</v>
      <v xml:space="preserve">https://en.wikipedia.org/wiki/Indiana	</v>
      <v xml:space="preserve">https://creativecommons.org/licenses/by-sa/3.0	</v>
    </spb>
    <spb s="0">
      <v xml:space="preserve">Wikipedia	</v>
      <v xml:space="preserve">CC-BY-SA	</v>
      <v xml:space="preserve">http://en.wikipedia.org/wiki/Indiana	</v>
      <v xml:space="preserve">http://creativecommons.org/licenses/by-sa/3.0/	</v>
    </spb>
    <spb s="0">
      <v xml:space="preserve">Wikipedia	US Census	US Census	</v>
      <v xml:space="preserve">CC-BY-SA			</v>
      <v xml:space="preserve">http://en.wikipedia.org/wiki/Indiana	https://www.census.gov/popest/data/state/asrh/2014/files/SC-EST2014-AGESEX-CIV.csv	http://www.census.gov/quickfacts/table/WTN220212/18	</v>
      <v xml:space="preserve">http://creativecommons.org/licenses/by-sa/3.0/			</v>
    </spb>
    <spb s="1">
      <v>57</v>
      <v>57</v>
      <v>1</v>
      <v>57</v>
      <v>57</v>
      <v>57</v>
      <v>58</v>
      <v>57</v>
      <v>1</v>
      <v>57</v>
      <v>1</v>
      <v>59</v>
      <v>57</v>
      <v>1</v>
      <v>1</v>
      <v>1</v>
      <v>1</v>
      <v>59</v>
      <v>1</v>
      <v>1</v>
      <v>1</v>
      <v>1</v>
      <v>1</v>
      <v>1</v>
      <v>1</v>
      <v>1</v>
      <v>1</v>
      <v>59</v>
      <v>1</v>
      <v>1</v>
      <v>1</v>
      <v>1</v>
    </spb>
    <spb s="0">
      <v xml:space="preserve">Wikipedia	</v>
      <v xml:space="preserve">CC BY-SA 3.0	</v>
      <v xml:space="preserve">https://en.wikipedia.org/wiki/Iowa	</v>
      <v xml:space="preserve">https://creativecommons.org/licenses/by-sa/3.0	</v>
    </spb>
    <spb s="0">
      <v xml:space="preserve">Wikipedia	</v>
      <v xml:space="preserve">CC-BY-SA	</v>
      <v xml:space="preserve">http://en.wikipedia.org/wiki/Iowa	</v>
      <v xml:space="preserve">http://creativecommons.org/licenses/by-sa/3.0/	</v>
    </spb>
    <spb s="0">
      <v xml:space="preserve">Wikipedia	US Census	US Census	</v>
      <v xml:space="preserve">CC-BY-SA			</v>
      <v xml:space="preserve">http://en.wikipedia.org/wiki/Iowa	https://www.census.gov/popest/data/state/asrh/2014/files/SC-EST2014-AGESEX-CIV.csv	http://www.census.gov/quickfacts/table/WTN220212/19	</v>
      <v xml:space="preserve">http://creativecommons.org/licenses/by-sa/3.0/			</v>
    </spb>
    <spb s="1">
      <v>61</v>
      <v>61</v>
      <v>1</v>
      <v>61</v>
      <v>61</v>
      <v>61</v>
      <v>62</v>
      <v>61</v>
      <v>1</v>
      <v>61</v>
      <v>1</v>
      <v>63</v>
      <v>61</v>
      <v>1</v>
      <v>1</v>
      <v>1</v>
      <v>1</v>
      <v>63</v>
      <v>1</v>
      <v>1</v>
      <v>1</v>
      <v>1</v>
      <v>1</v>
      <v>1</v>
      <v>1</v>
      <v>1</v>
      <v>1</v>
      <v>63</v>
      <v>1</v>
      <v>1</v>
      <v>1</v>
      <v>1</v>
    </spb>
    <spb s="0">
      <v xml:space="preserve">Wikipedia	</v>
      <v xml:space="preserve">CC BY-SA 3.0	</v>
      <v xml:space="preserve">https://en.wikipedia.org/wiki/Kansas	</v>
      <v xml:space="preserve">https://creativecommons.org/licenses/by-sa/3.0	</v>
    </spb>
    <spb s="0">
      <v xml:space="preserve">Wikipedia	</v>
      <v xml:space="preserve">CC-BY-SA	</v>
      <v xml:space="preserve">http://en.wikipedia.org/wiki/Kansas	</v>
      <v xml:space="preserve">http://creativecommons.org/licenses/by-sa/3.0/	</v>
    </spb>
    <spb s="0">
      <v xml:space="preserve">Wikipedia	US Census	US Census	</v>
      <v xml:space="preserve">CC-BY-SA			</v>
      <v xml:space="preserve">http://en.wikipedia.org/wiki/Kansas	https://www.census.gov/popest/data/state/asrh/2014/files/SC-EST2014-AGESEX-CIV.csv	http://www.census.gov/quickfacts/table/WTN220212/20	</v>
      <v xml:space="preserve">http://creativecommons.org/licenses/by-sa/3.0/			</v>
    </spb>
    <spb s="1">
      <v>65</v>
      <v>65</v>
      <v>1</v>
      <v>65</v>
      <v>65</v>
      <v>65</v>
      <v>66</v>
      <v>65</v>
      <v>1</v>
      <v>65</v>
      <v>1</v>
      <v>67</v>
      <v>65</v>
      <v>1</v>
      <v>1</v>
      <v>1</v>
      <v>1</v>
      <v>67</v>
      <v>1</v>
      <v>1</v>
      <v>1</v>
      <v>1</v>
      <v>1</v>
      <v>1</v>
      <v>1</v>
      <v>1</v>
      <v>1</v>
      <v>67</v>
      <v>1</v>
      <v>1</v>
      <v>1</v>
      <v>1</v>
    </spb>
    <spb s="0">
      <v xml:space="preserve">Wikipedia	</v>
      <v xml:space="preserve">CC BY-SA 3.0	</v>
      <v xml:space="preserve">https://en.wikipedia.org/wiki/Kentucky	</v>
      <v xml:space="preserve">https://creativecommons.org/licenses/by-sa/3.0	</v>
    </spb>
    <spb s="0">
      <v xml:space="preserve">Wikipedia	</v>
      <v xml:space="preserve">CC-BY-SA	</v>
      <v xml:space="preserve">http://en.wikipedia.org/wiki/Kentucky	</v>
      <v xml:space="preserve">http://creativecommons.org/licenses/by-sa/3.0/	</v>
    </spb>
    <spb s="0">
      <v xml:space="preserve">Wikipedia	US Census	US Census	</v>
      <v xml:space="preserve">CC-BY-SA			</v>
      <v xml:space="preserve">http://en.wikipedia.org/wiki/Kentucky	https://www.census.gov/popest/data/state/asrh/2014/files/SC-EST2014-AGESEX-CIV.csv	http://www.census.gov/quickfacts/table/WTN220212/21	</v>
      <v xml:space="preserve">http://creativecommons.org/licenses/by-sa/3.0/			</v>
    </spb>
    <spb s="1">
      <v>69</v>
      <v>69</v>
      <v>1</v>
      <v>69</v>
      <v>69</v>
      <v>69</v>
      <v>70</v>
      <v>69</v>
      <v>1</v>
      <v>69</v>
      <v>1</v>
      <v>71</v>
      <v>69</v>
      <v>1</v>
      <v>1</v>
      <v>1</v>
      <v>1</v>
      <v>71</v>
      <v>1</v>
      <v>1</v>
      <v>1</v>
      <v>1</v>
      <v>1</v>
      <v>1</v>
      <v>1</v>
      <v>1</v>
      <v>1</v>
      <v>71</v>
      <v>1</v>
      <v>1</v>
      <v>1</v>
      <v>1</v>
    </spb>
    <spb s="0">
      <v xml:space="preserve">Wikipedia	</v>
      <v xml:space="preserve">CC BY-SA 3.0	</v>
      <v xml:space="preserve">https://en.wikipedia.org/wiki/Louisiana	</v>
      <v xml:space="preserve">https://creativecommons.org/licenses/by-sa/3.0	</v>
    </spb>
    <spb s="0">
      <v xml:space="preserve">Wikipedia	</v>
      <v xml:space="preserve">CC-BY-SA	</v>
      <v xml:space="preserve">http://en.wikipedia.org/wiki/Louisiana	</v>
      <v xml:space="preserve">http://creativecommons.org/licenses/by-sa/3.0/	</v>
    </spb>
    <spb s="0">
      <v xml:space="preserve">Wikipedia	US Census	US Census	</v>
      <v xml:space="preserve">CC-BY-SA			</v>
      <v xml:space="preserve">http://en.wikipedia.org/wiki/Louisiana	https://www.census.gov/popest/data/state/asrh/2014/files/SC-EST2014-AGESEX-CIV.csv	http://www.census.gov/quickfacts/table/WTN220212/22	</v>
      <v xml:space="preserve">http://creativecommons.org/licenses/by-sa/3.0/			</v>
    </spb>
    <spb s="1">
      <v>73</v>
      <v>73</v>
      <v>1</v>
      <v>73</v>
      <v>73</v>
      <v>73</v>
      <v>74</v>
      <v>73</v>
      <v>1</v>
      <v>73</v>
      <v>1</v>
      <v>75</v>
      <v>73</v>
      <v>1</v>
      <v>1</v>
      <v>1</v>
      <v>1</v>
      <v>75</v>
      <v>1</v>
      <v>1</v>
      <v>1</v>
      <v>1</v>
      <v>1</v>
      <v>1</v>
      <v>1</v>
      <v>1</v>
      <v>1</v>
      <v>75</v>
      <v>1</v>
      <v>1</v>
      <v>1</v>
      <v>1</v>
    </spb>
    <spb s="0">
      <v xml:space="preserve">Wikipedia	</v>
      <v xml:space="preserve">CC BY-SA 3.0	</v>
      <v xml:space="preserve">https://en.wikipedia.org/wiki/Maine	</v>
      <v xml:space="preserve">https://creativecommons.org/licenses/by-sa/3.0	</v>
    </spb>
    <spb s="0">
      <v xml:space="preserve">Wikipedia	</v>
      <v xml:space="preserve">CC-BY-SA	</v>
      <v xml:space="preserve">http://en.wikipedia.org/wiki/Maine	</v>
      <v xml:space="preserve">http://creativecommons.org/licenses/by-sa/3.0/	</v>
    </spb>
    <spb s="0">
      <v xml:space="preserve">Wikipedia	US Census	US Census	</v>
      <v xml:space="preserve">CC-BY-SA			</v>
      <v xml:space="preserve">http://en.wikipedia.org/wiki/Maine	https://www.census.gov/popest/data/state/asrh/2014/files/SC-EST2014-AGESEX-CIV.csv	http://www.census.gov/quickfacts/table/WTN220212/23	</v>
      <v xml:space="preserve">http://creativecommons.org/licenses/by-sa/3.0/			</v>
    </spb>
    <spb s="9">
      <v>77</v>
      <v>77</v>
      <v>1</v>
      <v>77</v>
      <v>77</v>
      <v>77</v>
      <v>78</v>
      <v>77</v>
      <v>1</v>
      <v>77</v>
      <v>1</v>
      <v>79</v>
      <v>77</v>
      <v>1</v>
      <v>1</v>
      <v>1</v>
      <v>1</v>
      <v>79</v>
      <v>1</v>
      <v>1</v>
      <v>1</v>
      <v>1</v>
      <v>1</v>
      <v>1</v>
      <v>1</v>
      <v>1</v>
      <v>1</v>
      <v>79</v>
      <v>1</v>
      <v>1</v>
      <v>1</v>
    </spb>
    <spb s="2">
      <v>2</v>
      <v>Name</v>
      <v>LearnMoreOnLink</v>
    </spb>
    <spb s="10">
      <v>square km</v>
      <v>2015</v>
      <v>2024</v>
      <v>2016</v>
      <v>2016</v>
      <v>2015</v>
      <v>2015</v>
      <v>2010, 2016</v>
      <v>persons (2015)</v>
      <v>persons (2015)</v>
      <v>2015</v>
      <v>2015</v>
      <v>2015</v>
      <v>2015</v>
      <v>persons (2015)</v>
      <v>persons (2015)</v>
      <v>2015</v>
      <v>persons age 16+, 2015</v>
      <v>persons (2015)</v>
      <v>under age 65, 2015</v>
      <v>2015</v>
      <v>persons age 25+, 2015</v>
      <v>persons (2015)</v>
      <v>persons (2015)</v>
    </spb>
    <spb s="0">
      <v xml:space="preserve">Wikipedia	</v>
      <v xml:space="preserve">CC BY-SA 3.0	</v>
      <v xml:space="preserve">https://en.wikipedia.org/wiki/Maryland	</v>
      <v xml:space="preserve">https://creativecommons.org/licenses/by-sa/3.0	</v>
    </spb>
    <spb s="0">
      <v xml:space="preserve">Wikipedia	</v>
      <v xml:space="preserve">CC-BY-SA	</v>
      <v xml:space="preserve">http://en.wikipedia.org/wiki/Maryland	</v>
      <v xml:space="preserve">http://creativecommons.org/licenses/by-sa/3.0/	</v>
    </spb>
    <spb s="0">
      <v xml:space="preserve">Wikipedia	US Census	US Census	</v>
      <v xml:space="preserve">CC-BY-SA			</v>
      <v xml:space="preserve">http://en.wikipedia.org/wiki/Maryland	https://www.census.gov/popest/data/state/asrh/2014/files/SC-EST2014-AGESEX-CIV.csv	http://www.census.gov/quickfacts/table/WTN220212/24	</v>
      <v xml:space="preserve">http://creativecommons.org/licenses/by-sa/3.0/			</v>
    </spb>
    <spb s="1">
      <v>83</v>
      <v>83</v>
      <v>1</v>
      <v>83</v>
      <v>83</v>
      <v>83</v>
      <v>84</v>
      <v>83</v>
      <v>1</v>
      <v>83</v>
      <v>1</v>
      <v>85</v>
      <v>83</v>
      <v>1</v>
      <v>1</v>
      <v>1</v>
      <v>1</v>
      <v>85</v>
      <v>1</v>
      <v>1</v>
      <v>1</v>
      <v>1</v>
      <v>1</v>
      <v>1</v>
      <v>1</v>
      <v>1</v>
      <v>1</v>
      <v>85</v>
      <v>1</v>
      <v>1</v>
      <v>1</v>
      <v>1</v>
    </spb>
    <spb s="0">
      <v xml:space="preserve">Wikipedia	</v>
      <v xml:space="preserve">CC BY-SA 3.0	</v>
      <v xml:space="preserve">https://en.wikipedia.org/wiki/Massachusetts	</v>
      <v xml:space="preserve">https://creativecommons.org/licenses/by-sa/3.0	</v>
    </spb>
    <spb s="0">
      <v xml:space="preserve">Wikipedia	</v>
      <v xml:space="preserve">CC-BY-SA	</v>
      <v xml:space="preserve">http://en.wikipedia.org/wiki/Massachusetts	</v>
      <v xml:space="preserve">http://creativecommons.org/licenses/by-sa/3.0/	</v>
    </spb>
    <spb s="0">
      <v xml:space="preserve">Wikipedia	US Census	US Census	</v>
      <v xml:space="preserve">CC-BY-SA			</v>
      <v xml:space="preserve">http://en.wikipedia.org/wiki/Massachusetts	https://www.census.gov/popest/data/state/asrh/2014/files/SC-EST2014-AGESEX-CIV.csv	http://www.census.gov/quickfacts/table/WTN220212/25	</v>
      <v xml:space="preserve">http://creativecommons.org/licenses/by-sa/3.0/			</v>
    </spb>
    <spb s="1">
      <v>87</v>
      <v>87</v>
      <v>1</v>
      <v>87</v>
      <v>87</v>
      <v>87</v>
      <v>88</v>
      <v>87</v>
      <v>1</v>
      <v>87</v>
      <v>1</v>
      <v>89</v>
      <v>87</v>
      <v>1</v>
      <v>1</v>
      <v>1</v>
      <v>1</v>
      <v>89</v>
      <v>1</v>
      <v>1</v>
      <v>1</v>
      <v>1</v>
      <v>1</v>
      <v>1</v>
      <v>1</v>
      <v>1</v>
      <v>1</v>
      <v>89</v>
      <v>1</v>
      <v>1</v>
      <v>1</v>
      <v>1</v>
    </spb>
    <spb s="0">
      <v xml:space="preserve">Wikipedia	</v>
      <v xml:space="preserve">CC BY-SA 3.0	</v>
      <v xml:space="preserve">https://en.wikipedia.org/wiki/Michigan	</v>
      <v xml:space="preserve">https://creativecommons.org/licenses/by-sa/3.0	</v>
    </spb>
    <spb s="0">
      <v xml:space="preserve">Wikipedia	</v>
      <v xml:space="preserve">CC-BY-SA	</v>
      <v xml:space="preserve">http://en.wikipedia.org/wiki/Michigan	</v>
      <v xml:space="preserve">http://creativecommons.org/licenses/by-sa/3.0/	</v>
    </spb>
    <spb s="0">
      <v xml:space="preserve">Wikipedia	US Census	US Census	</v>
      <v xml:space="preserve">CC-BY-SA			</v>
      <v xml:space="preserve">http://en.wikipedia.org/wiki/Michigan	https://www.census.gov/popest/data/state/asrh/2014/files/SC-EST2014-AGESEX-CIV.csv	http://www.census.gov/quickfacts/table/WTN220212/26	</v>
      <v xml:space="preserve">http://creativecommons.org/licenses/by-sa/3.0/			</v>
    </spb>
    <spb s="9">
      <v>91</v>
      <v>91</v>
      <v>1</v>
      <v>91</v>
      <v>91</v>
      <v>91</v>
      <v>92</v>
      <v>91</v>
      <v>1</v>
      <v>91</v>
      <v>1</v>
      <v>93</v>
      <v>91</v>
      <v>1</v>
      <v>1</v>
      <v>1</v>
      <v>1</v>
      <v>93</v>
      <v>1</v>
      <v>1</v>
      <v>1</v>
      <v>1</v>
      <v>1</v>
      <v>1</v>
      <v>1</v>
      <v>1</v>
      <v>1</v>
      <v>93</v>
      <v>1</v>
      <v>1</v>
      <v>1</v>
    </spb>
    <spb s="0">
      <v xml:space="preserve">Wikipedia	</v>
      <v xml:space="preserve">CC BY-SA 3.0	</v>
      <v xml:space="preserve">https://en.wikipedia.org/wiki/Minnesota	</v>
      <v xml:space="preserve">https://creativecommons.org/licenses/by-sa/3.0	</v>
    </spb>
    <spb s="0">
      <v xml:space="preserve">Wikipedia	</v>
      <v xml:space="preserve">CC-BY-SA	</v>
      <v xml:space="preserve">http://en.wikipedia.org/wiki/Minnesota	</v>
      <v xml:space="preserve">http://creativecommons.org/licenses/by-sa/3.0/	</v>
    </spb>
    <spb s="0">
      <v xml:space="preserve">Wikipedia	US Census	US Census	</v>
      <v xml:space="preserve">CC-BY-SA			</v>
      <v xml:space="preserve">http://en.wikipedia.org/wiki/Minnesota	https://www.census.gov/popest/data/state/asrh/2014/files/SC-EST2014-AGESEX-CIV.csv	http://www.census.gov/quickfacts/table/WTN220212/27	</v>
      <v xml:space="preserve">http://creativecommons.org/licenses/by-sa/3.0/			</v>
    </spb>
    <spb s="1">
      <v>95</v>
      <v>95</v>
      <v>1</v>
      <v>95</v>
      <v>95</v>
      <v>95</v>
      <v>96</v>
      <v>95</v>
      <v>1</v>
      <v>95</v>
      <v>1</v>
      <v>97</v>
      <v>95</v>
      <v>1</v>
      <v>1</v>
      <v>1</v>
      <v>1</v>
      <v>97</v>
      <v>1</v>
      <v>1</v>
      <v>1</v>
      <v>1</v>
      <v>1</v>
      <v>1</v>
      <v>1</v>
      <v>1</v>
      <v>1</v>
      <v>97</v>
      <v>1</v>
      <v>1</v>
      <v>1</v>
      <v>1</v>
    </spb>
    <spb s="0">
      <v xml:space="preserve">Wikipedia	</v>
      <v xml:space="preserve">CC BY-SA 3.0	</v>
      <v xml:space="preserve">https://en.wikipedia.org/wiki/Mississippi	</v>
      <v xml:space="preserve">https://creativecommons.org/licenses/by-sa/3.0	</v>
    </spb>
    <spb s="0">
      <v xml:space="preserve">Wikipedia	</v>
      <v xml:space="preserve">CC-BY-SA	</v>
      <v xml:space="preserve">http://en.wikipedia.org/wiki/Mississippi	</v>
      <v xml:space="preserve">http://creativecommons.org/licenses/by-sa/3.0/	</v>
    </spb>
    <spb s="0">
      <v xml:space="preserve">Wikipedia	US Census	US Census	</v>
      <v xml:space="preserve">CC-BY-SA			</v>
      <v xml:space="preserve">http://en.wikipedia.org/wiki/Mississippi	https://www.census.gov/popest/data/state/asrh/2014/files/SC-EST2014-AGESEX-CIV.csv	http://www.census.gov/quickfacts/table/WTN220212/28	</v>
      <v xml:space="preserve">http://creativecommons.org/licenses/by-sa/3.0/			</v>
    </spb>
    <spb s="1">
      <v>99</v>
      <v>99</v>
      <v>1</v>
      <v>99</v>
      <v>99</v>
      <v>99</v>
      <v>100</v>
      <v>99</v>
      <v>1</v>
      <v>99</v>
      <v>1</v>
      <v>101</v>
      <v>99</v>
      <v>1</v>
      <v>1</v>
      <v>1</v>
      <v>1</v>
      <v>101</v>
      <v>1</v>
      <v>1</v>
      <v>1</v>
      <v>1</v>
      <v>1</v>
      <v>1</v>
      <v>1</v>
      <v>1</v>
      <v>1</v>
      <v>101</v>
      <v>1</v>
      <v>1</v>
      <v>1</v>
      <v>1</v>
    </spb>
    <spb s="0">
      <v xml:space="preserve">Wikipedia	</v>
      <v xml:space="preserve">CC BY-SA 3.0	</v>
      <v xml:space="preserve">https://en.wikipedia.org/wiki/Missouri	</v>
      <v xml:space="preserve">https://creativecommons.org/licenses/by-sa/3.0	</v>
    </spb>
    <spb s="0">
      <v xml:space="preserve">Wikipedia	</v>
      <v xml:space="preserve">CC-BY-SA	</v>
      <v xml:space="preserve">http://en.wikipedia.org/wiki/Missouri	</v>
      <v xml:space="preserve">http://creativecommons.org/licenses/by-sa/3.0/	</v>
    </spb>
    <spb s="0">
      <v xml:space="preserve">Wikipedia	US Census	US Census	</v>
      <v xml:space="preserve">CC-BY-SA			</v>
      <v xml:space="preserve">http://en.wikipedia.org/wiki/Missouri	https://www.census.gov/popest/data/state/asrh/2014/files/SC-EST2014-AGESEX-CIV.csv	http://www.census.gov/quickfacts/table/WTN220212/29	</v>
      <v xml:space="preserve">http://creativecommons.org/licenses/by-sa/3.0/			</v>
    </spb>
    <spb s="1">
      <v>103</v>
      <v>103</v>
      <v>1</v>
      <v>103</v>
      <v>103</v>
      <v>103</v>
      <v>104</v>
      <v>103</v>
      <v>1</v>
      <v>103</v>
      <v>1</v>
      <v>105</v>
      <v>103</v>
      <v>1</v>
      <v>1</v>
      <v>1</v>
      <v>1</v>
      <v>105</v>
      <v>1</v>
      <v>1</v>
      <v>1</v>
      <v>1</v>
      <v>1</v>
      <v>1</v>
      <v>1</v>
      <v>1</v>
      <v>1</v>
      <v>105</v>
      <v>1</v>
      <v>1</v>
      <v>1</v>
      <v>1</v>
    </spb>
    <spb s="0">
      <v xml:space="preserve">Wikipedia	</v>
      <v xml:space="preserve">CC BY-SA 3.0	</v>
      <v xml:space="preserve">https://en.wikipedia.org/wiki/Montana	</v>
      <v xml:space="preserve">https://creativecommons.org/licenses/by-sa/3.0	</v>
    </spb>
    <spb s="0">
      <v xml:space="preserve">Wikipedia	</v>
      <v xml:space="preserve">CC-BY-SA	</v>
      <v xml:space="preserve">http://en.wikipedia.org/wiki/Montana	</v>
      <v xml:space="preserve">http://creativecommons.org/licenses/by-sa/3.0/	</v>
    </spb>
    <spb s="0">
      <v xml:space="preserve">Wikipedia	US Census	US Census	</v>
      <v xml:space="preserve">CC-BY-SA			</v>
      <v xml:space="preserve">http://en.wikipedia.org/wiki/Montana	https://www.census.gov/popest/data/state/asrh/2014/files/SC-EST2014-AGESEX-CIV.csv	http://www.census.gov/quickfacts/table/lnd110210/30	</v>
      <v xml:space="preserve">http://creativecommons.org/licenses/by-sa/3.0/			</v>
    </spb>
    <spb s="1">
      <v>107</v>
      <v>107</v>
      <v>1</v>
      <v>107</v>
      <v>107</v>
      <v>107</v>
      <v>108</v>
      <v>107</v>
      <v>1</v>
      <v>107</v>
      <v>1</v>
      <v>109</v>
      <v>107</v>
      <v>1</v>
      <v>1</v>
      <v>1</v>
      <v>1</v>
      <v>109</v>
      <v>1</v>
      <v>1</v>
      <v>1</v>
      <v>1</v>
      <v>1</v>
      <v>1</v>
      <v>1</v>
      <v>1</v>
      <v>1</v>
      <v>109</v>
      <v>1</v>
      <v>1</v>
      <v>1</v>
      <v>1</v>
    </spb>
    <spb s="0">
      <v xml:space="preserve">Wikipedia	</v>
      <v xml:space="preserve">CC BY-SA 3.0	</v>
      <v xml:space="preserve">https://en.wikipedia.org/wiki/Nebraska	</v>
      <v xml:space="preserve">https://creativecommons.org/licenses/by-sa/3.0	</v>
    </spb>
    <spb s="0">
      <v xml:space="preserve">Wikipedia	</v>
      <v xml:space="preserve">CC-BY-SA	</v>
      <v xml:space="preserve">http://en.wikipedia.org/wiki/Nebraska	</v>
      <v xml:space="preserve">http://creativecommons.org/licenses/by-sa/3.0/	</v>
    </spb>
    <spb s="0">
      <v xml:space="preserve">Wikipedia	US Census	LinkedIn	</v>
      <v xml:space="preserve">CC-BY-SA			</v>
      <v xml:space="preserve">http://en.wikipedia.org/wiki/Nebraska	https://www.census.gov/popest/data/state/asrh/2014/files/SC-EST2014-AGESEX-CIV.csv	https://www.linkedin.com/company/audubon-nebraska	</v>
      <v xml:space="preserve">http://creativecommons.org/licenses/by-sa/3.0/			</v>
    </spb>
    <spb s="1">
      <v>111</v>
      <v>111</v>
      <v>1</v>
      <v>111</v>
      <v>111</v>
      <v>111</v>
      <v>112</v>
      <v>111</v>
      <v>1</v>
      <v>111</v>
      <v>1</v>
      <v>113</v>
      <v>111</v>
      <v>1</v>
      <v>1</v>
      <v>1</v>
      <v>1</v>
      <v>113</v>
      <v>1</v>
      <v>1</v>
      <v>1</v>
      <v>1</v>
      <v>1</v>
      <v>1</v>
      <v>1</v>
      <v>1</v>
      <v>1</v>
      <v>113</v>
      <v>1</v>
      <v>1</v>
      <v>1</v>
      <v>1</v>
    </spb>
    <spb s="0">
      <v xml:space="preserve">Wikipedia	</v>
      <v xml:space="preserve">CC BY-SA 3.0	</v>
      <v xml:space="preserve">https://en.wikipedia.org/wiki/Nevada	</v>
      <v xml:space="preserve">https://creativecommons.org/licenses/by-sa/3.0	</v>
    </spb>
    <spb s="0">
      <v xml:space="preserve">Wikipedia	</v>
      <v xml:space="preserve">CC-BY-SA	</v>
      <v xml:space="preserve">http://en.wikipedia.org/wiki/Nevada	</v>
      <v xml:space="preserve">http://creativecommons.org/licenses/by-sa/3.0/	</v>
    </spb>
    <spb s="0">
      <v xml:space="preserve">Wikipedia	US Census	US Census	</v>
      <v xml:space="preserve">CC-BY-SA			</v>
      <v xml:space="preserve">http://en.wikipedia.org/wiki/Nevada	https://www.census.gov/popest/data/state/asrh/2014/files/SC-EST2014-AGESEX-CIV.csv	http://www.census.gov/quickfacts/table/WTN220212/32	</v>
      <v xml:space="preserve">http://creativecommons.org/licenses/by-sa/3.0/			</v>
    </spb>
    <spb s="1">
      <v>115</v>
      <v>115</v>
      <v>1</v>
      <v>115</v>
      <v>115</v>
      <v>115</v>
      <v>116</v>
      <v>115</v>
      <v>1</v>
      <v>115</v>
      <v>1</v>
      <v>117</v>
      <v>115</v>
      <v>1</v>
      <v>1</v>
      <v>1</v>
      <v>1</v>
      <v>117</v>
      <v>1</v>
      <v>1</v>
      <v>1</v>
      <v>1</v>
      <v>1</v>
      <v>1</v>
      <v>1</v>
      <v>1</v>
      <v>1</v>
      <v>117</v>
      <v>1</v>
      <v>1</v>
      <v>1</v>
      <v>1</v>
    </spb>
    <spb s="0">
      <v xml:space="preserve">Wikipedia	</v>
      <v xml:space="preserve">CC BY-SA 3.0	</v>
      <v xml:space="preserve">https://en.wikipedia.org/wiki/New_Hampshire	</v>
      <v xml:space="preserve">https://creativecommons.org/licenses/by-sa/3.0	</v>
    </spb>
    <spb s="0">
      <v xml:space="preserve">Wikipedia	</v>
      <v xml:space="preserve">CC-BY-SA	</v>
      <v xml:space="preserve">http://en.wikipedia.org/wiki/New_Hampshire	</v>
      <v xml:space="preserve">http://creativecommons.org/licenses/by-sa/3.0/	</v>
    </spb>
    <spb s="0">
      <v xml:space="preserve">Wikipedia	US Census	Bookdepository	</v>
      <v xml:space="preserve">CC-BY-SA			</v>
      <v xml:space="preserve">http://en.wikipedia.org/wiki/New_Hampshire	https://www.census.gov/popest/data/state/asrh/2014/files/SC-EST2014-AGESEX-CIV.csv	https://www.bookdepository.com/author/New-Hampshire	</v>
      <v xml:space="preserve">http://creativecommons.org/licenses/by-sa/3.0/			</v>
    </spb>
    <spb s="9">
      <v>119</v>
      <v>119</v>
      <v>1</v>
      <v>119</v>
      <v>119</v>
      <v>119</v>
      <v>120</v>
      <v>119</v>
      <v>1</v>
      <v>119</v>
      <v>1</v>
      <v>121</v>
      <v>119</v>
      <v>1</v>
      <v>1</v>
      <v>1</v>
      <v>1</v>
      <v>121</v>
      <v>1</v>
      <v>1</v>
      <v>1</v>
      <v>1</v>
      <v>1</v>
      <v>1</v>
      <v>1</v>
      <v>1</v>
      <v>1</v>
      <v>121</v>
      <v>1</v>
      <v>1</v>
      <v>1</v>
    </spb>
    <spb s="2">
      <v>3</v>
      <v>Name</v>
      <v>LearnMoreOnLink</v>
    </spb>
    <spb s="0">
      <v xml:space="preserve">Wikipedia	</v>
      <v xml:space="preserve">CC BY-SA 3.0	</v>
      <v xml:space="preserve">https://en.wikipedia.org/wiki/New_Jersey	</v>
      <v xml:space="preserve">https://creativecommons.org/licenses/by-sa/3.0	</v>
    </spb>
    <spb s="0">
      <v xml:space="preserve">Wikipedia	</v>
      <v xml:space="preserve">CC-BY-SA	</v>
      <v xml:space="preserve">http://en.wikipedia.org/wiki/New_Jersey	</v>
      <v xml:space="preserve">http://creativecommons.org/licenses/by-sa/3.0/	</v>
    </spb>
    <spb s="0">
      <v xml:space="preserve">Wikipedia	US Census	US Census	</v>
      <v xml:space="preserve">CC-BY-SA			</v>
      <v xml:space="preserve">http://en.wikipedia.org/wiki/New_Jersey	https://www.census.gov/popest/data/state/asrh/2014/files/SC-EST2014-AGESEX-CIV.csv	http://www.census.gov/quickfacts/table/WTN220212/34	</v>
      <v xml:space="preserve">http://creativecommons.org/licenses/by-sa/3.0/			</v>
    </spb>
    <spb s="1">
      <v>124</v>
      <v>124</v>
      <v>1</v>
      <v>124</v>
      <v>124</v>
      <v>124</v>
      <v>125</v>
      <v>124</v>
      <v>1</v>
      <v>124</v>
      <v>1</v>
      <v>126</v>
      <v>124</v>
      <v>1</v>
      <v>1</v>
      <v>1</v>
      <v>1</v>
      <v>126</v>
      <v>1</v>
      <v>1</v>
      <v>1</v>
      <v>1</v>
      <v>1</v>
      <v>1</v>
      <v>1</v>
      <v>1</v>
      <v>1</v>
      <v>126</v>
      <v>1</v>
      <v>1</v>
      <v>1</v>
      <v>1</v>
    </spb>
    <spb s="7">
      <v>square km</v>
      <v>2015</v>
      <v>2020</v>
      <v>2016</v>
      <v>2016</v>
      <v>2015</v>
      <v>2015</v>
      <v>2010, 2016</v>
      <v>persons (2015)</v>
      <v>persons (2015)</v>
      <v>2015</v>
      <v>2015</v>
      <v>2015</v>
      <v>2015</v>
      <v>persons (2015)</v>
      <v>persons (2015)</v>
      <v>2015</v>
      <v>persons age 16+, 2015</v>
      <v>persons (2015)</v>
      <v>under age 65, 2015</v>
      <v>2015</v>
      <v>persons age 25+, 2015</v>
      <v>persons (2015)</v>
      <v>persons (2015)</v>
      <v>persons (2015)</v>
    </spb>
    <spb s="0">
      <v xml:space="preserve">Wikipedia	</v>
      <v xml:space="preserve">CC BY-SA 3.0	</v>
      <v xml:space="preserve">https://en.wikipedia.org/wiki/New_Mexico	</v>
      <v xml:space="preserve">https://creativecommons.org/licenses/by-sa/3.0	</v>
    </spb>
    <spb s="0">
      <v xml:space="preserve">Wikipedia	</v>
      <v xml:space="preserve">CC-BY-SA	</v>
      <v xml:space="preserve">http://en.wikipedia.org/wiki/New_Mexico	</v>
      <v xml:space="preserve">http://creativecommons.org/licenses/by-sa/3.0/	</v>
    </spb>
    <spb s="0">
      <v xml:space="preserve">Wikipedia	US Census	US Census	</v>
      <v xml:space="preserve">CC-BY-SA			</v>
      <v xml:space="preserve">http://en.wikipedia.org/wiki/New_Mexico	https://www.census.gov/popest/data/state/asrh/2014/files/SC-EST2014-AGESEX-CIV.csv	http://www.census.gov/quickfacts/table/WTN220212/35	</v>
      <v xml:space="preserve">http://creativecommons.org/licenses/by-sa/3.0/			</v>
    </spb>
    <spb s="1">
      <v>129</v>
      <v>129</v>
      <v>1</v>
      <v>129</v>
      <v>129</v>
      <v>129</v>
      <v>130</v>
      <v>129</v>
      <v>1</v>
      <v>129</v>
      <v>1</v>
      <v>131</v>
      <v>129</v>
      <v>1</v>
      <v>1</v>
      <v>1</v>
      <v>1</v>
      <v>131</v>
      <v>1</v>
      <v>1</v>
      <v>1</v>
      <v>1</v>
      <v>1</v>
      <v>1</v>
      <v>1</v>
      <v>1</v>
      <v>1</v>
      <v>131</v>
      <v>1</v>
      <v>1</v>
      <v>1</v>
      <v>1</v>
    </spb>
    <spb s="0">
      <v xml:space="preserve">Wikipedia	</v>
      <v xml:space="preserve">CC BY-SA 3.0	</v>
      <v xml:space="preserve">https://en.wikipedia.org/wiki/New_York_(state)	</v>
      <v xml:space="preserve">https://creativecommons.org/licenses/by-sa/3.0	</v>
    </spb>
    <spb s="0">
      <v xml:space="preserve">Wikipedia	</v>
      <v xml:space="preserve">CC-BY-SA	</v>
      <v xml:space="preserve">http://en.wikipedia.org/wiki/New_York_(state)	</v>
      <v xml:space="preserve">http://creativecommons.org/licenses/by-sa/3.0/	</v>
    </spb>
    <spb s="0">
      <v xml:space="preserve">Wikipedia	Wikipedia	US Census	US Census	</v>
      <v xml:space="preserve">CC-BY-SA	CC-BY-SA			</v>
      <v xml:space="preserve">http://en.wikipedia.org/wiki/New_York_(state)	http://en.wikipedia.org/wiki/New_York	https://www.census.gov/popest/data/state/asrh/2014/files/SC-EST2014-AGESEX-CIV.csv	http://www.census.gov/quickfacts/table/WTN220212/36	</v>
      <v xml:space="preserve">http://creativecommons.org/licenses/by-sa/3.0/	http://creativecommons.org/licenses/by-sa/3.0/			</v>
    </spb>
    <spb s="1">
      <v>133</v>
      <v>133</v>
      <v>1</v>
      <v>133</v>
      <v>133</v>
      <v>133</v>
      <v>134</v>
      <v>133</v>
      <v>1</v>
      <v>133</v>
      <v>1</v>
      <v>135</v>
      <v>133</v>
      <v>1</v>
      <v>1</v>
      <v>1</v>
      <v>1</v>
      <v>135</v>
      <v>1</v>
      <v>1</v>
      <v>1</v>
      <v>1</v>
      <v>1</v>
      <v>1</v>
      <v>1</v>
      <v>1</v>
      <v>1</v>
      <v>135</v>
      <v>1</v>
      <v>1</v>
      <v>1</v>
      <v>1</v>
    </spb>
    <spb s="0">
      <v xml:space="preserve">Wikipedia	</v>
      <v xml:space="preserve">CC BY-SA 3.0	</v>
      <v xml:space="preserve">https://en.wikipedia.org/wiki/North_Carolina	</v>
      <v xml:space="preserve">https://creativecommons.org/licenses/by-sa/3.0	</v>
    </spb>
    <spb s="0">
      <v xml:space="preserve">Wikipedia	</v>
      <v xml:space="preserve">CC-BY-SA	</v>
      <v xml:space="preserve">http://en.wikipedia.org/wiki/North_Carolina	</v>
      <v xml:space="preserve">http://creativecommons.org/licenses/by-sa/3.0/	</v>
    </spb>
    <spb s="0">
      <v xml:space="preserve">Wikipedia	US Census	US Census	</v>
      <v xml:space="preserve">CC-BY-SA			</v>
      <v xml:space="preserve">http://en.wikipedia.org/wiki/North_Carolina	https://www.census.gov/popest/data/state/asrh/2014/files/SC-EST2014-AGESEX-CIV.csv	http://www.census.gov/quickfacts/table/WTN220212/37	</v>
      <v xml:space="preserve">http://creativecommons.org/licenses/by-sa/3.0/			</v>
    </spb>
    <spb s="1">
      <v>137</v>
      <v>137</v>
      <v>1</v>
      <v>137</v>
      <v>137</v>
      <v>137</v>
      <v>138</v>
      <v>137</v>
      <v>1</v>
      <v>137</v>
      <v>1</v>
      <v>139</v>
      <v>137</v>
      <v>1</v>
      <v>1</v>
      <v>1</v>
      <v>1</v>
      <v>139</v>
      <v>1</v>
      <v>1</v>
      <v>1</v>
      <v>1</v>
      <v>1</v>
      <v>1</v>
      <v>1</v>
      <v>1</v>
      <v>1</v>
      <v>139</v>
      <v>1</v>
      <v>1</v>
      <v>1</v>
      <v>1</v>
    </spb>
    <spb s="0">
      <v xml:space="preserve">Wikipedia	</v>
      <v xml:space="preserve">CC BY-SA 3.0	</v>
      <v xml:space="preserve">https://en.wikipedia.org/wiki/North_Dakota	</v>
      <v xml:space="preserve">https://creativecommons.org/licenses/by-sa/3.0	</v>
    </spb>
    <spb s="0">
      <v xml:space="preserve">Wikipedia	</v>
      <v xml:space="preserve">CC-BY-SA	</v>
      <v xml:space="preserve">http://en.wikipedia.org/wiki/North_Dakota	</v>
      <v xml:space="preserve">http://creativecommons.org/licenses/by-sa/3.0/	</v>
    </spb>
    <spb s="0">
      <v xml:space="preserve">Wikipedia	US Census	US Census	</v>
      <v xml:space="preserve">CC-BY-SA			</v>
      <v xml:space="preserve">http://en.wikipedia.org/wiki/North_Dakota	https://www.census.gov/popest/data/state/asrh/2014/files/SC-EST2014-AGESEX-CIV.csv	http://www.census.gov/quickfacts/table/VET605214/38	</v>
      <v xml:space="preserve">http://creativecommons.org/licenses/by-sa/3.0/			</v>
    </spb>
    <spb s="1">
      <v>141</v>
      <v>141</v>
      <v>1</v>
      <v>141</v>
      <v>141</v>
      <v>141</v>
      <v>142</v>
      <v>141</v>
      <v>1</v>
      <v>141</v>
      <v>1</v>
      <v>143</v>
      <v>141</v>
      <v>1</v>
      <v>1</v>
      <v>1</v>
      <v>1</v>
      <v>143</v>
      <v>1</v>
      <v>1</v>
      <v>1</v>
      <v>1</v>
      <v>1</v>
      <v>1</v>
      <v>1</v>
      <v>1</v>
      <v>1</v>
      <v>143</v>
      <v>1</v>
      <v>1</v>
      <v>1</v>
      <v>1</v>
    </spb>
    <spb s="0">
      <v xml:space="preserve">Wikipedia	</v>
      <v xml:space="preserve">CC BY-SA 3.0	</v>
      <v xml:space="preserve">https://en.wikipedia.org/wiki/Ohio	</v>
      <v xml:space="preserve">https://creativecommons.org/licenses/by-sa/3.0	</v>
    </spb>
    <spb s="0">
      <v xml:space="preserve">Wikipedia	</v>
      <v xml:space="preserve">CC-BY-SA	</v>
      <v xml:space="preserve">http://en.wikipedia.org/wiki/Ohio	</v>
      <v xml:space="preserve">http://creativecommons.org/licenses/by-sa/3.0/	</v>
    </spb>
    <spb s="0">
      <v xml:space="preserve">Wikipedia	US Census	US Census	</v>
      <v xml:space="preserve">CC-BY-SA			</v>
      <v xml:space="preserve">http://en.wikipedia.org/wiki/Ohio	https://www.census.gov/popest/data/state/asrh/2014/files/SC-EST2014-AGESEX-CIV.csv	http://www.census.gov/quickfacts/table/WTN220212/39	</v>
      <v xml:space="preserve">http://creativecommons.org/licenses/by-sa/3.0/			</v>
    </spb>
    <spb s="1">
      <v>145</v>
      <v>145</v>
      <v>1</v>
      <v>145</v>
      <v>145</v>
      <v>145</v>
      <v>146</v>
      <v>145</v>
      <v>1</v>
      <v>145</v>
      <v>1</v>
      <v>147</v>
      <v>145</v>
      <v>1</v>
      <v>1</v>
      <v>1</v>
      <v>1</v>
      <v>147</v>
      <v>1</v>
      <v>1</v>
      <v>1</v>
      <v>1</v>
      <v>1</v>
      <v>1</v>
      <v>1</v>
      <v>1</v>
      <v>1</v>
      <v>147</v>
      <v>1</v>
      <v>1</v>
      <v>1</v>
      <v>1</v>
    </spb>
    <spb s="0">
      <v xml:space="preserve">Wikipedia	</v>
      <v xml:space="preserve">CC BY-SA 3.0	</v>
      <v xml:space="preserve">https://en.wikipedia.org/wiki/Oklahoma	</v>
      <v xml:space="preserve">https://creativecommons.org/licenses/by-sa/3.0	</v>
    </spb>
    <spb s="0">
      <v xml:space="preserve">Wikipedia	</v>
      <v xml:space="preserve">CC-BY-SA	</v>
      <v xml:space="preserve">http://en.wikipedia.org/wiki/Oklahoma	</v>
      <v xml:space="preserve">http://creativecommons.org/licenses/by-sa/3.0/	</v>
    </spb>
    <spb s="0">
      <v xml:space="preserve">Wikipedia	US Census	US Census	</v>
      <v xml:space="preserve">CC-BY-SA			</v>
      <v xml:space="preserve">http://en.wikipedia.org/wiki/Oklahoma	https://www.census.gov/popest/data/state/asrh/2014/files/SC-EST2014-AGESEX-CIV.csv	http://www.census.gov/quickfacts/table/WTN220212/40	</v>
      <v xml:space="preserve">http://creativecommons.org/licenses/by-sa/3.0/			</v>
    </spb>
    <spb s="1">
      <v>149</v>
      <v>149</v>
      <v>1</v>
      <v>149</v>
      <v>149</v>
      <v>149</v>
      <v>150</v>
      <v>149</v>
      <v>1</v>
      <v>149</v>
      <v>1</v>
      <v>151</v>
      <v>149</v>
      <v>1</v>
      <v>1</v>
      <v>1</v>
      <v>1</v>
      <v>151</v>
      <v>1</v>
      <v>1</v>
      <v>1</v>
      <v>1</v>
      <v>1</v>
      <v>1</v>
      <v>1</v>
      <v>1</v>
      <v>1</v>
      <v>151</v>
      <v>1</v>
      <v>1</v>
      <v>1</v>
      <v>1</v>
    </spb>
    <spb s="2">
      <v>4</v>
      <v>Name</v>
      <v>LearnMoreOnLink</v>
    </spb>
    <spb s="0">
      <v xml:space="preserve">Wikipedia	</v>
      <v xml:space="preserve">CC BY-SA 3.0	</v>
      <v xml:space="preserve">https://en.wikipedia.org/wiki/Oregon	</v>
      <v xml:space="preserve">https://creativecommons.org/licenses/by-sa/3.0	</v>
    </spb>
    <spb s="0">
      <v xml:space="preserve">Wikipedia	</v>
      <v xml:space="preserve">CC-BY-SA	</v>
      <v xml:space="preserve">http://en.wikipedia.org/wiki/Oregon	</v>
      <v xml:space="preserve">http://creativecommons.org/licenses/by-sa/3.0/	</v>
    </spb>
    <spb s="0">
      <v xml:space="preserve">Wikipedia	US Census	US Census	</v>
      <v xml:space="preserve">CC-BY-SA			</v>
      <v xml:space="preserve">http://en.wikipedia.org/wiki/Oregon	https://www.census.gov/popest/data/state/asrh/2014/files/SC-EST2014-AGESEX-CIV.csv	http://www.census.gov/quickfacts/table/WTN220212/41	</v>
      <v xml:space="preserve">http://creativecommons.org/licenses/by-sa/3.0/			</v>
    </spb>
    <spb s="1">
      <v>154</v>
      <v>154</v>
      <v>1</v>
      <v>154</v>
      <v>154</v>
      <v>154</v>
      <v>155</v>
      <v>154</v>
      <v>1</v>
      <v>154</v>
      <v>1</v>
      <v>156</v>
      <v>154</v>
      <v>1</v>
      <v>1</v>
      <v>1</v>
      <v>1</v>
      <v>156</v>
      <v>1</v>
      <v>1</v>
      <v>1</v>
      <v>1</v>
      <v>1</v>
      <v>1</v>
      <v>1</v>
      <v>1</v>
      <v>1</v>
      <v>156</v>
      <v>1</v>
      <v>1</v>
      <v>1</v>
      <v>1</v>
    </spb>
    <spb s="0">
      <v xml:space="preserve">Wikipedia	</v>
      <v xml:space="preserve">CC BY-SA 3.0	</v>
      <v xml:space="preserve">https://en.wikipedia.org/wiki/Pennsylvania	</v>
      <v xml:space="preserve">https://creativecommons.org/licenses/by-sa/3.0	</v>
    </spb>
    <spb s="0">
      <v xml:space="preserve">Wikipedia	</v>
      <v xml:space="preserve">CC-BY-SA	</v>
      <v xml:space="preserve">http://en.wikipedia.org/wiki/Pennsylvania	</v>
      <v xml:space="preserve">http://creativecommons.org/licenses/by-sa/3.0/	</v>
    </spb>
    <spb s="0">
      <v xml:space="preserve">Wikipedia	US Census	US Census	</v>
      <v xml:space="preserve">CC-BY-SA			</v>
      <v xml:space="preserve">http://en.wikipedia.org/wiki/Pennsylvania	https://www.census.gov/popest/data/state/asrh/2014/files/SC-EST2014-AGESEX-CIV.csv	http://www.census.gov/quickfacts/table/WTN220212/42	</v>
      <v xml:space="preserve">http://creativecommons.org/licenses/by-sa/3.0/			</v>
    </spb>
    <spb s="1">
      <v>158</v>
      <v>158</v>
      <v>1</v>
      <v>158</v>
      <v>158</v>
      <v>158</v>
      <v>159</v>
      <v>158</v>
      <v>1</v>
      <v>158</v>
      <v>1</v>
      <v>160</v>
      <v>158</v>
      <v>1</v>
      <v>1</v>
      <v>1</v>
      <v>1</v>
      <v>160</v>
      <v>1</v>
      <v>1</v>
      <v>1</v>
      <v>1</v>
      <v>1</v>
      <v>1</v>
      <v>1</v>
      <v>1</v>
      <v>1</v>
      <v>160</v>
      <v>1</v>
      <v>1</v>
      <v>1</v>
      <v>1</v>
    </spb>
    <spb s="0">
      <v xml:space="preserve">Wikipedia	</v>
      <v xml:space="preserve">CC BY-SA 3.0	</v>
      <v xml:space="preserve">https://en.wikipedia.org/wiki/Rhode_Island	</v>
      <v xml:space="preserve">https://creativecommons.org/licenses/by-sa/3.0	</v>
    </spb>
    <spb s="0">
      <v xml:space="preserve">Wikipedia	</v>
      <v xml:space="preserve">CC-BY-SA	</v>
      <v xml:space="preserve">http://en.wikipedia.org/wiki/Rhode_Island	</v>
      <v xml:space="preserve">http://creativecommons.org/licenses/by-sa/3.0/	</v>
    </spb>
    <spb s="0">
      <v xml:space="preserve">Wikipedia	US Census	US Census	</v>
      <v xml:space="preserve">CC-BY-SA			</v>
      <v xml:space="preserve">http://en.wikipedia.org/wiki/Rhode_Island	https://www.census.gov/popest/data/state/asrh/2014/files/SC-EST2014-AGESEX-CIV.csv	http://www.census.gov/quickfacts/table/WTN220212/44	</v>
      <v xml:space="preserve">http://creativecommons.org/licenses/by-sa/3.0/			</v>
    </spb>
    <spb s="1">
      <v>162</v>
      <v>162</v>
      <v>1</v>
      <v>162</v>
      <v>162</v>
      <v>162</v>
      <v>163</v>
      <v>162</v>
      <v>1</v>
      <v>162</v>
      <v>1</v>
      <v>164</v>
      <v>162</v>
      <v>1</v>
      <v>1</v>
      <v>1</v>
      <v>1</v>
      <v>164</v>
      <v>1</v>
      <v>1</v>
      <v>1</v>
      <v>1</v>
      <v>1</v>
      <v>1</v>
      <v>1</v>
      <v>1</v>
      <v>1</v>
      <v>164</v>
      <v>1</v>
      <v>1</v>
      <v>1</v>
      <v>1</v>
    </spb>
    <spb s="0">
      <v xml:space="preserve">Wikipedia	</v>
      <v xml:space="preserve">CC BY-SA 3.0	</v>
      <v xml:space="preserve">https://en.wikipedia.org/wiki/South_Carolina	</v>
      <v xml:space="preserve">https://creativecommons.org/licenses/by-sa/3.0	</v>
    </spb>
    <spb s="0">
      <v xml:space="preserve">Wikipedia	</v>
      <v xml:space="preserve">CC-BY-SA	</v>
      <v xml:space="preserve">http://en.wikipedia.org/wiki/South_Carolina	</v>
      <v xml:space="preserve">http://creativecommons.org/licenses/by-sa/3.0/	</v>
    </spb>
    <spb s="0">
      <v xml:space="preserve">Wikipedia	US Census	US Census	</v>
      <v xml:space="preserve">CC-BY-SA			</v>
      <v xml:space="preserve">http://en.wikipedia.org/wiki/South_Carolina	https://www.census.gov/popest/data/state/asrh/2014/files/SC-EST2014-AGESEX-CIV.csv	http://www.census.gov/quickfacts/table/WTN220212/45	</v>
      <v xml:space="preserve">http://creativecommons.org/licenses/by-sa/3.0/			</v>
    </spb>
    <spb s="1">
      <v>166</v>
      <v>166</v>
      <v>1</v>
      <v>166</v>
      <v>166</v>
      <v>166</v>
      <v>167</v>
      <v>166</v>
      <v>1</v>
      <v>166</v>
      <v>1</v>
      <v>168</v>
      <v>166</v>
      <v>1</v>
      <v>1</v>
      <v>1</v>
      <v>1</v>
      <v>168</v>
      <v>1</v>
      <v>1</v>
      <v>1</v>
      <v>1</v>
      <v>1</v>
      <v>1</v>
      <v>1</v>
      <v>1</v>
      <v>1</v>
      <v>168</v>
      <v>1</v>
      <v>1</v>
      <v>1</v>
      <v>1</v>
    </spb>
    <spb s="0">
      <v xml:space="preserve">Wikipedia	</v>
      <v xml:space="preserve">CC BY-SA 3.0	</v>
      <v xml:space="preserve">https://en.wikipedia.org/wiki/South_Dakota	</v>
      <v xml:space="preserve">https://creativecommons.org/licenses/by-sa/3.0	</v>
    </spb>
    <spb s="0">
      <v xml:space="preserve">Wikipedia	</v>
      <v xml:space="preserve">CC-BY-SA	</v>
      <v xml:space="preserve">http://en.wikipedia.org/wiki/South_Dakota	</v>
      <v xml:space="preserve">http://creativecommons.org/licenses/by-sa/3.0/	</v>
    </spb>
    <spb s="0">
      <v xml:space="preserve">Wikipedia	US Census	US Census	</v>
      <v xml:space="preserve">CC-BY-SA			</v>
      <v xml:space="preserve">http://en.wikipedia.org/wiki/South_Dakota	https://www.census.gov/popest/data/state/asrh/2014/files/SC-EST2014-AGESEX-CIV.csv	http://www.census.gov/quickfacts/table/WTN220212/46	</v>
      <v xml:space="preserve">http://creativecommons.org/licenses/by-sa/3.0/			</v>
    </spb>
    <spb s="1">
      <v>170</v>
      <v>170</v>
      <v>1</v>
      <v>170</v>
      <v>170</v>
      <v>170</v>
      <v>171</v>
      <v>170</v>
      <v>1</v>
      <v>170</v>
      <v>1</v>
      <v>172</v>
      <v>170</v>
      <v>1</v>
      <v>1</v>
      <v>1</v>
      <v>1</v>
      <v>172</v>
      <v>1</v>
      <v>1</v>
      <v>1</v>
      <v>1</v>
      <v>1</v>
      <v>1</v>
      <v>1</v>
      <v>1</v>
      <v>1</v>
      <v>172</v>
      <v>1</v>
      <v>1</v>
      <v>1</v>
      <v>1</v>
    </spb>
    <spb s="0">
      <v xml:space="preserve">Wikipedia	</v>
      <v xml:space="preserve">CC BY-SA 3.0	</v>
      <v xml:space="preserve">https://en.wikipedia.org/wiki/Tennessee	</v>
      <v xml:space="preserve">https://creativecommons.org/licenses/by-sa/3.0	</v>
    </spb>
    <spb s="0">
      <v xml:space="preserve">Wikipedia	</v>
      <v xml:space="preserve">CC-BY-SA	</v>
      <v xml:space="preserve">http://en.wikipedia.org/wiki/Tennessee	</v>
      <v xml:space="preserve">http://creativecommons.org/licenses/by-sa/3.0/	</v>
    </spb>
    <spb s="0">
      <v xml:space="preserve">Wikipedia	US Census	US Census	</v>
      <v xml:space="preserve">CC-BY-SA			</v>
      <v xml:space="preserve">http://en.wikipedia.org/wiki/Tennessee	https://www.census.gov/popest/data/state/asrh/2014/files/SC-EST2014-AGESEX-CIV.csv	http://www.census.gov/quickfacts/table/WTN220212/47	</v>
      <v xml:space="preserve">http://creativecommons.org/licenses/by-sa/3.0/			</v>
    </spb>
    <spb s="1">
      <v>174</v>
      <v>174</v>
      <v>1</v>
      <v>174</v>
      <v>174</v>
      <v>174</v>
      <v>175</v>
      <v>174</v>
      <v>1</v>
      <v>174</v>
      <v>1</v>
      <v>176</v>
      <v>174</v>
      <v>1</v>
      <v>1</v>
      <v>1</v>
      <v>1</v>
      <v>176</v>
      <v>1</v>
      <v>1</v>
      <v>1</v>
      <v>1</v>
      <v>1</v>
      <v>1</v>
      <v>1</v>
      <v>1</v>
      <v>1</v>
      <v>176</v>
      <v>1</v>
      <v>1</v>
      <v>1</v>
      <v>1</v>
    </spb>
    <spb s="0">
      <v xml:space="preserve">Wikipedia	</v>
      <v xml:space="preserve">CC BY-SA 3.0	</v>
      <v xml:space="preserve">https://en.wikipedia.org/wiki/Texas	</v>
      <v xml:space="preserve">https://creativecommons.org/licenses/by-sa/3.0	</v>
    </spb>
    <spb s="0">
      <v xml:space="preserve">Wikipedia	</v>
      <v xml:space="preserve">CC-BY-SA	</v>
      <v xml:space="preserve">http://en.wikipedia.org/wiki/Texas	</v>
      <v xml:space="preserve">http://creativecommons.org/licenses/by-sa/3.0/	</v>
    </spb>
    <spb s="0">
      <v xml:space="preserve">Wikipedia	US Census	US Census	</v>
      <v xml:space="preserve">CC-BY-SA			</v>
      <v xml:space="preserve">http://en.wikipedia.org/wiki/Texas	https://www.census.gov/popest/data/state/asrh/2014/files/SC-EST2014-AGESEX-CIV.csv	http://www.census.gov/quickfacts/table/WTN220212/48	</v>
      <v xml:space="preserve">http://creativecommons.org/licenses/by-sa/3.0/			</v>
    </spb>
    <spb s="1">
      <v>178</v>
      <v>178</v>
      <v>1</v>
      <v>178</v>
      <v>178</v>
      <v>178</v>
      <v>179</v>
      <v>178</v>
      <v>1</v>
      <v>178</v>
      <v>1</v>
      <v>180</v>
      <v>178</v>
      <v>1</v>
      <v>1</v>
      <v>1</v>
      <v>1</v>
      <v>180</v>
      <v>1</v>
      <v>1</v>
      <v>1</v>
      <v>1</v>
      <v>1</v>
      <v>1</v>
      <v>1</v>
      <v>1</v>
      <v>1</v>
      <v>180</v>
      <v>1</v>
      <v>1</v>
      <v>1</v>
      <v>1</v>
    </spb>
    <spb s="0">
      <v xml:space="preserve">Wikipedia	</v>
      <v xml:space="preserve">CC BY-SA 3.0	</v>
      <v xml:space="preserve">https://en.wikipedia.org/wiki/Utah	</v>
      <v xml:space="preserve">https://creativecommons.org/licenses/by-sa/3.0	</v>
    </spb>
    <spb s="0">
      <v xml:space="preserve">Wikipedia	</v>
      <v xml:space="preserve">CC-BY-SA	</v>
      <v xml:space="preserve">http://en.wikipedia.org/wiki/Utah	</v>
      <v xml:space="preserve">http://creativecommons.org/licenses/by-sa/3.0/	</v>
    </spb>
    <spb s="0">
      <v xml:space="preserve">Wikipedia	US Census	US Census	</v>
      <v xml:space="preserve">CC-BY-SA			</v>
      <v xml:space="preserve">http://en.wikipedia.org/wiki/Utah	https://www.census.gov/popest/data/state/asrh/2014/files/SC-EST2014-AGESEX-CIV.csv	http://www.census.gov/quickfacts/table/WTN220212/49	</v>
      <v xml:space="preserve">http://creativecommons.org/licenses/by-sa/3.0/			</v>
    </spb>
    <spb s="1">
      <v>182</v>
      <v>182</v>
      <v>1</v>
      <v>182</v>
      <v>182</v>
      <v>182</v>
      <v>183</v>
      <v>182</v>
      <v>1</v>
      <v>182</v>
      <v>1</v>
      <v>184</v>
      <v>182</v>
      <v>1</v>
      <v>1</v>
      <v>1</v>
      <v>1</v>
      <v>184</v>
      <v>1</v>
      <v>1</v>
      <v>1</v>
      <v>1</v>
      <v>1</v>
      <v>1</v>
      <v>1</v>
      <v>1</v>
      <v>1</v>
      <v>184</v>
      <v>1</v>
      <v>1</v>
      <v>1</v>
      <v>1</v>
    </spb>
    <spb s="0">
      <v xml:space="preserve">Wikipedia	</v>
      <v xml:space="preserve">CC BY-SA 3.0	</v>
      <v xml:space="preserve">https://en.wikipedia.org/wiki/Vermont	</v>
      <v xml:space="preserve">https://creativecommons.org/licenses/by-sa/3.0	</v>
    </spb>
    <spb s="0">
      <v xml:space="preserve">Wikipedia	</v>
      <v xml:space="preserve">CC-BY-SA	</v>
      <v xml:space="preserve">http://en.wikipedia.org/wiki/Vermont	</v>
      <v xml:space="preserve">http://creativecommons.org/licenses/by-sa/3.0/	</v>
    </spb>
    <spb s="0">
      <v xml:space="preserve">Wikipedia	US Census	US Census	</v>
      <v xml:space="preserve">CC-BY-SA			</v>
      <v xml:space="preserve">http://en.wikipedia.org/wiki/Vermont	https://www.census.gov/popest/data/state/asrh/2014/files/SC-EST2014-AGESEX-CIV.csv	http://www.census.gov/quickfacts/table/WTN220212/50	</v>
      <v xml:space="preserve">http://creativecommons.org/licenses/by-sa/3.0/			</v>
    </spb>
    <spb s="9">
      <v>186</v>
      <v>186</v>
      <v>1</v>
      <v>186</v>
      <v>186</v>
      <v>186</v>
      <v>187</v>
      <v>186</v>
      <v>1</v>
      <v>186</v>
      <v>1</v>
      <v>188</v>
      <v>186</v>
      <v>1</v>
      <v>1</v>
      <v>1</v>
      <v>1</v>
      <v>188</v>
      <v>1</v>
      <v>1</v>
      <v>1</v>
      <v>1</v>
      <v>1</v>
      <v>1</v>
      <v>1</v>
      <v>1</v>
      <v>1</v>
      <v>188</v>
      <v>1</v>
      <v>1</v>
      <v>1</v>
    </spb>
    <spb s="0">
      <v xml:space="preserve">Wikipedia	</v>
      <v xml:space="preserve">CC BY-SA 3.0	</v>
      <v xml:space="preserve">https://en.wikipedia.org/wiki/Virginia	</v>
      <v xml:space="preserve">https://creativecommons.org/licenses/by-sa/3.0	</v>
    </spb>
    <spb s="0">
      <v xml:space="preserve">Wikipedia	</v>
      <v xml:space="preserve">CC-BY-SA	</v>
      <v xml:space="preserve">http://en.wikipedia.org/wiki/Virginia	</v>
      <v xml:space="preserve">http://creativecommons.org/licenses/by-sa/3.0/	</v>
    </spb>
    <spb s="0">
      <v xml:space="preserve">Wikipedia	US Census	US Census	</v>
      <v xml:space="preserve">CC-BY-SA			</v>
      <v xml:space="preserve">http://en.wikipedia.org/wiki/Virginia	https://www.census.gov/popest/data/state/asrh/2014/files/SC-EST2014-AGESEX-CIV.csv	http://www.census.gov/quickfacts/table/WTN220212/51	</v>
      <v xml:space="preserve">http://creativecommons.org/licenses/by-sa/3.0/			</v>
    </spb>
    <spb s="1">
      <v>190</v>
      <v>190</v>
      <v>1</v>
      <v>190</v>
      <v>190</v>
      <v>190</v>
      <v>191</v>
      <v>190</v>
      <v>1</v>
      <v>190</v>
      <v>1</v>
      <v>192</v>
      <v>190</v>
      <v>1</v>
      <v>1</v>
      <v>1</v>
      <v>1</v>
      <v>192</v>
      <v>1</v>
      <v>1</v>
      <v>1</v>
      <v>1</v>
      <v>1</v>
      <v>1</v>
      <v>1</v>
      <v>1</v>
      <v>1</v>
      <v>192</v>
      <v>1</v>
      <v>1</v>
      <v>1</v>
      <v>1</v>
    </spb>
    <spb s="0">
      <v xml:space="preserve">Wikipedia	</v>
      <v xml:space="preserve">CC BY-SA 3.0	</v>
      <v xml:space="preserve">https://en.wikipedia.org/wiki/Washington_(state)	</v>
      <v xml:space="preserve">https://creativecommons.org/licenses/by-sa/3.0	</v>
    </spb>
    <spb s="0">
      <v xml:space="preserve">Wikipedia	</v>
      <v xml:space="preserve">CC-BY-SA	</v>
      <v xml:space="preserve">http://en.wikipedia.org/wiki/Washington_(state)	</v>
      <v xml:space="preserve">http://creativecommons.org/licenses/by-sa/3.0/	</v>
    </spb>
    <spb s="0">
      <v xml:space="preserve">Wikipedia	US Census	Crunchbase	</v>
      <v xml:space="preserve">CC-BY-SA			</v>
      <v xml:space="preserve">http://en.wikipedia.org/wiki/Washington_(state)	https://www.census.gov/popest/data/state/asrh/2014/files/SC-EST2014-AGESEX-CIV.csv	https://www.crunchbase.com/organization/access-washington	</v>
      <v xml:space="preserve">http://creativecommons.org/licenses/by-sa/3.0/			</v>
    </spb>
    <spb s="1">
      <v>194</v>
      <v>194</v>
      <v>1</v>
      <v>194</v>
      <v>194</v>
      <v>194</v>
      <v>195</v>
      <v>194</v>
      <v>1</v>
      <v>194</v>
      <v>1</v>
      <v>196</v>
      <v>194</v>
      <v>1</v>
      <v>1</v>
      <v>1</v>
      <v>1</v>
      <v>196</v>
      <v>1</v>
      <v>1</v>
      <v>1</v>
      <v>1</v>
      <v>1</v>
      <v>1</v>
      <v>1</v>
      <v>1</v>
      <v>1</v>
      <v>196</v>
      <v>1</v>
      <v>1</v>
      <v>1</v>
      <v>1</v>
    </spb>
    <spb s="0">
      <v xml:space="preserve">Wikipedia	</v>
      <v xml:space="preserve">CC BY-SA 3.0	</v>
      <v xml:space="preserve">https://en.wikipedia.org/wiki/West_Virginia	</v>
      <v xml:space="preserve">https://creativecommons.org/licenses/by-sa/3.0	</v>
    </spb>
    <spb s="0">
      <v xml:space="preserve">Wikipedia	</v>
      <v xml:space="preserve">CC-BY-SA	</v>
      <v xml:space="preserve">http://en.wikipedia.org/wiki/West_Virginia	</v>
      <v xml:space="preserve">http://creativecommons.org/licenses/by-sa/3.0/	</v>
    </spb>
    <spb s="0">
      <v xml:space="preserve">Wikipedia	US Census	US Census	</v>
      <v xml:space="preserve">CC-BY-SA			</v>
      <v xml:space="preserve">http://en.wikipedia.org/wiki/West_Virginia	https://www.census.gov/popest/data/state/asrh/2014/files/SC-EST2014-AGESEX-CIV.csv	http://www.census.gov/quickfacts/table/WTN220212/54	</v>
      <v xml:space="preserve">http://creativecommons.org/licenses/by-sa/3.0/			</v>
    </spb>
    <spb s="9">
      <v>198</v>
      <v>198</v>
      <v>1</v>
      <v>198</v>
      <v>198</v>
      <v>198</v>
      <v>199</v>
      <v>198</v>
      <v>1</v>
      <v>198</v>
      <v>1</v>
      <v>200</v>
      <v>198</v>
      <v>1</v>
      <v>1</v>
      <v>1</v>
      <v>1</v>
      <v>200</v>
      <v>1</v>
      <v>1</v>
      <v>1</v>
      <v>1</v>
      <v>1</v>
      <v>1</v>
      <v>1</v>
      <v>1</v>
      <v>1</v>
      <v>200</v>
      <v>1</v>
      <v>1</v>
      <v>1</v>
    </spb>
    <spb s="0">
      <v xml:space="preserve">Wikipedia	</v>
      <v xml:space="preserve">CC BY-SA 3.0	</v>
      <v xml:space="preserve">https://en.wikipedia.org/wiki/Wisconsin	</v>
      <v xml:space="preserve">https://creativecommons.org/licenses/by-sa/3.0	</v>
    </spb>
    <spb s="0">
      <v xml:space="preserve">Wikipedia	</v>
      <v xml:space="preserve">CC-BY-SA	</v>
      <v xml:space="preserve">http://en.wikipedia.org/wiki/Wisconsin	</v>
      <v xml:space="preserve">http://creativecommons.org/licenses/by-sa/3.0/	</v>
    </spb>
    <spb s="0">
      <v xml:space="preserve">Wikipedia	US Census	US Census	</v>
      <v xml:space="preserve">CC-BY-SA			</v>
      <v xml:space="preserve">http://en.wikipedia.org/wiki/Wisconsin	https://www.census.gov/popest/data/state/asrh/2014/files/SC-EST2014-AGESEX-CIV.csv	http://www.census.gov/quickfacts/table/VET605214/55	</v>
      <v xml:space="preserve">http://creativecommons.org/licenses/by-sa/3.0/			</v>
    </spb>
    <spb s="1">
      <v>202</v>
      <v>202</v>
      <v>1</v>
      <v>202</v>
      <v>202</v>
      <v>202</v>
      <v>203</v>
      <v>202</v>
      <v>1</v>
      <v>202</v>
      <v>1</v>
      <v>204</v>
      <v>202</v>
      <v>1</v>
      <v>1</v>
      <v>1</v>
      <v>1</v>
      <v>204</v>
      <v>1</v>
      <v>1</v>
      <v>1</v>
      <v>1</v>
      <v>1</v>
      <v>1</v>
      <v>1</v>
      <v>1</v>
      <v>1</v>
      <v>204</v>
      <v>1</v>
      <v>1</v>
      <v>1</v>
      <v>1</v>
    </spb>
    <spb s="0">
      <v xml:space="preserve">Wikipedia	</v>
      <v xml:space="preserve">CC BY-SA 3.0	</v>
      <v xml:space="preserve">https://en.wikipedia.org/wiki/Wyoming	</v>
      <v xml:space="preserve">https://creativecommons.org/licenses/by-sa/3.0	</v>
    </spb>
    <spb s="0">
      <v xml:space="preserve">Wikipedia	</v>
      <v xml:space="preserve">CC-BY-SA	</v>
      <v xml:space="preserve">http://en.wikipedia.org/wiki/Wyoming	</v>
      <v xml:space="preserve">http://creativecommons.org/licenses/by-sa/3.0/	</v>
    </spb>
    <spb s="0">
      <v xml:space="preserve">Wikipedia	US Census	US Census	</v>
      <v xml:space="preserve">CC-BY-SA			</v>
      <v xml:space="preserve">http://en.wikipedia.org/wiki/Wyoming	https://www.census.gov/popest/data/state/asrh/2014/files/SC-EST2014-AGESEX-CIV.csv	http://www.census.gov/quickfacts/table/WTN220212/56	</v>
      <v xml:space="preserve">http://creativecommons.org/licenses/by-sa/3.0/			</v>
    </spb>
    <spb s="1">
      <v>206</v>
      <v>206</v>
      <v>1</v>
      <v>206</v>
      <v>206</v>
      <v>206</v>
      <v>207</v>
      <v>206</v>
      <v>1</v>
      <v>206</v>
      <v>1</v>
      <v>208</v>
      <v>206</v>
      <v>1</v>
      <v>1</v>
      <v>1</v>
      <v>1</v>
      <v>208</v>
      <v>1</v>
      <v>1</v>
      <v>1</v>
      <v>1</v>
      <v>1</v>
      <v>1</v>
      <v>1</v>
      <v>1</v>
      <v>1</v>
      <v>208</v>
      <v>1</v>
      <v>1</v>
      <v>1</v>
      <v>1</v>
    </spb>
  </spbData>
</supportingPropertyBags>
</file>

<file path=xl/richData/rdsupportingpropertybagstructure.xml><?xml version="1.0" encoding="utf-8"?>
<spbStructures xmlns="http://schemas.microsoft.com/office/spreadsheetml/2017/richdata2" count="11">
  <s>
    <k n="SourceText" t="s"/>
    <k n="LicenseText" t="s"/>
    <k n="SourceAddress" t="s"/>
    <k n="LicenseAddress" t="s"/>
  </s>
  <s>
    <k n="Area" t="spb"/>
    <k n="Name" t="spb"/>
    <k n="Households" t="spb"/>
    <k n="Population" t="spb"/>
    <k n="UniqueName" t="spb"/>
    <k n="Description" t="spb"/>
    <k n="Abbreviation" t="spb"/>
    <k n="Largest city" t="spb"/>
    <k n="Housing units" t="spb"/>
    <k n="Country/region" t="spb"/>
    <k n="Building permits" t="spb"/>
    <k n="Median gross rent" t="spb"/>
    <k n="Capital/Major City" t="spb"/>
    <k n="Persons per household" t="spb"/>
    <k n="Population change (%)" t="spb"/>
    <k n="Population: Asian (%)" t="spb"/>
    <k n="Population: White (%)" t="spb"/>
    <k n="Median household income" t="spb"/>
    <k n="Population: Age 65+ (%)" t="spb"/>
    <k n="Population: Under age 5 (%)" t="spb"/>
    <k n="Population: Under age 18 (%)" t="spb"/>
    <k n="Population: Two or more races (%)" t="spb"/>
    <k n="Population: Hispanic or Latino (%)" t="spb"/>
    <k n="Population: Foreign born persons (%)" t="spb"/>
    <k n="Population: In civilian labor force (%)" t="spb"/>
    <k n="Population: Black or African American (%)" t="spb"/>
    <k n="Population: Persons with a disability (%)" t="spb"/>
    <k n="Median value, owner-occupied housing units" t="spb"/>
    <k n="Population: Bachelor's degree or higher (%)" t="spb"/>
    <k n="Population: High school graduate or higher (%)" t="spb"/>
    <k n="Population: American Indian and Alaskan Native (%)" t="spb"/>
    <k n="Population: Native Hawaiian and Other Pacific Islander (%)" t="spb"/>
  </s>
  <s>
    <k n="^Order" t="spba"/>
    <k n="TitleProperty" t="s"/>
    <k n="SubTitleProperty" t="s"/>
  </s>
  <s>
    <k n="ShowInCardView" t="b"/>
    <k n="ShowInDotNotation" t="b"/>
    <k n="ShowInAutoComplete" t="b"/>
  </s>
  <s>
    <k n="UniqueName" t="spb"/>
    <k n="VDPID/VSID" t="spb"/>
    <k n="LearnMoreOnLink" t="spb"/>
  </s>
  <s>
    <k n="Name" t="i"/>
    <k n="Image" t="i"/>
  </s>
  <s>
    <k n="link" t="s"/>
    <k n="logo" t="s"/>
    <k n="name" t="s"/>
  </s>
  <s>
    <k n="Area" t="s"/>
    <k n="Households" t="s"/>
    <k n="Population" t="s"/>
    <k n="Housing units" t="s"/>
    <k n="Building permits" t="s"/>
    <k n="Median gross rent" t="s"/>
    <k n="Persons per household" t="s"/>
    <k n="Population change (%)" t="s"/>
    <k n="Population: Asian (%)" t="s"/>
    <k n="Population: White (%)" t="s"/>
    <k n="Median household income" t="s"/>
    <k n="Population: Age 65+ (%)" t="s"/>
    <k n="Population: Under age 5 (%)" t="s"/>
    <k n="Population: Under age 18 (%)" t="s"/>
    <k n="Population: Two or more races (%)" t="s"/>
    <k n="Population: Hispanic or Latino (%)" t="s"/>
    <k n="Population: Foreign born persons (%)" t="s"/>
    <k n="Population: In civilian labor force (%)" t="s"/>
    <k n="Population: Black or African American (%)" t="s"/>
    <k n="Population: Persons with a disability (%)" t="s"/>
    <k n="Median value, owner-occupied housing units" t="s"/>
    <k n="Population: Bachelor's degree or higher (%)" t="s"/>
    <k n="Population: High school graduate or higher (%)" t="s"/>
    <k n="Population: American Indian and Alaskan Native (%)" t="s"/>
    <k n="Population: Native Hawaiian and Other Pacific Islander (%)" t="s"/>
  </s>
  <s>
    <k n="_Self" t="i"/>
  </s>
  <s>
    <k n="Area" t="spb"/>
    <k n="Name" t="spb"/>
    <k n="Households" t="spb"/>
    <k n="Population" t="spb"/>
    <k n="UniqueName" t="spb"/>
    <k n="Description" t="spb"/>
    <k n="Abbreviation" t="spb"/>
    <k n="Largest city" t="spb"/>
    <k n="Housing units" t="spb"/>
    <k n="Country/region" t="spb"/>
    <k n="Building permits" t="spb"/>
    <k n="Median gross rent" t="spb"/>
    <k n="Capital/Major City" t="spb"/>
    <k n="Persons per household" t="spb"/>
    <k n="Population change (%)" t="spb"/>
    <k n="Population: Asian (%)" t="spb"/>
    <k n="Population: White (%)" t="spb"/>
    <k n="Median household income" t="spb"/>
    <k n="Population: Age 65+ (%)" t="spb"/>
    <k n="Population: Under age 5 (%)" t="spb"/>
    <k n="Population: Under age 18 (%)" t="spb"/>
    <k n="Population: Two or more races (%)" t="spb"/>
    <k n="Population: Hispanic or Latino (%)" t="spb"/>
    <k n="Population: Foreign born persons (%)" t="spb"/>
    <k n="Population: In civilian labor force (%)" t="spb"/>
    <k n="Population: Black or African American (%)" t="spb"/>
    <k n="Population: Persons with a disability (%)" t="spb"/>
    <k n="Median value, owner-occupied housing units" t="spb"/>
    <k n="Population: Bachelor's degree or higher (%)" t="spb"/>
    <k n="Population: High school graduate or higher (%)" t="spb"/>
    <k n="Population: American Indian and Alaskan Native (%)" t="spb"/>
  </s>
  <s>
    <k n="Area" t="s"/>
    <k n="Households" t="s"/>
    <k n="Population" t="s"/>
    <k n="Housing units" t="s"/>
    <k n="Building permits" t="s"/>
    <k n="Median gross rent" t="s"/>
    <k n="Persons per household" t="s"/>
    <k n="Population change (%)" t="s"/>
    <k n="Population: Asian (%)" t="s"/>
    <k n="Population: White (%)" t="s"/>
    <k n="Median household income" t="s"/>
    <k n="Population: Age 65+ (%)" t="s"/>
    <k n="Population: Under age 5 (%)" t="s"/>
    <k n="Population: Under age 18 (%)" t="s"/>
    <k n="Population: Two or more races (%)" t="s"/>
    <k n="Population: Hispanic or Latino (%)" t="s"/>
    <k n="Population: Foreign born persons (%)" t="s"/>
    <k n="Population: In civilian labor force (%)" t="s"/>
    <k n="Population: Black or African American (%)" t="s"/>
    <k n="Population: Persons with a disability (%)" t="s"/>
    <k n="Median value, owner-occupied housing units" t="s"/>
    <k n="Population: Bachelor's degree or higher (%)" t="s"/>
    <k n="Population: High school graduate or higher (%)" t="s"/>
    <k n="Population: American Indian and Alaskan Native (%)"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5">
    <x:dxf>
      <x:numFmt numFmtId="3" formatCode="#,##0"/>
    </x:dxf>
    <x:dxf>
      <x:numFmt numFmtId="14" formatCode="0.00%"/>
    </x:dxf>
    <x:dxf>
      <x:numFmt numFmtId="2" formatCode="0.00"/>
    </x:dxf>
    <x:dxf>
      <x:numFmt numFmtId="0" formatCode="General"/>
    </x:dxf>
    <x:dxf>
      <x:numFmt numFmtId="13" formatCode="0%"/>
    </x:dxf>
  </dxfs>
  <richProperties>
    <rPr n="IsTitleField" t="b"/>
    <rPr n="IsHeroField" t="b"/>
    <rPr n="NumberFormat" t="s"/>
  </richProperties>
  <richStyles>
    <rSty>
      <rpv i="0">1</rpv>
    </rSty>
    <rSty>
      <rpv i="1">1</rpv>
    </rSty>
    <rSty dxfid="0">
      <rpv i="2">#,##0</rpv>
    </rSty>
    <rSty dxfid="3">
      <rpv i="2">_([$$-en-US]* #,##0_);_([$$-en-US]* (#,##0);_([$$-en-US]* "-"_);_(@_)</rpv>
    </rSty>
    <rSty dxfid="2">
      <rpv i="2">0.00</rpv>
    </rSty>
    <rSty dxfid="1">
      <rpv i="2">0.0%</rpv>
    </rSty>
    <rSty dxfid="4"/>
  </richStyles>
</richStyleShee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3068066-8B4B-4AF8-B078-FB1552049404}" name="Table3" displayName="Table3" ref="D2:F12" totalsRowShown="0" headerRowDxfId="3">
  <autoFilter ref="D2:F12" xr:uid="{23068066-8B4B-4AF8-B078-FB1552049404}"/>
  <sortState xmlns:xlrd2="http://schemas.microsoft.com/office/spreadsheetml/2017/richdata2" ref="D3:E12">
    <sortCondition descending="1" ref="E2:E12"/>
  </sortState>
  <tableColumns count="3">
    <tableColumn id="1" xr3:uid="{7F7CFA00-FFC2-4E46-A2E6-D2762C8F1951}" name="Industry" dataDxfId="2"/>
    <tableColumn id="2" xr3:uid="{BD565003-E96B-4C88-B575-E6009BA3D9A6}" name="Avg Annual Wage" dataDxfId="1" dataCellStyle="Currency">
      <calculatedColumnFormula>AVERAGEIFS(Data!F:F,Data!B:B,D3,Data!A:A,$B$15)</calculatedColumnFormula>
    </tableColumn>
    <tableColumn id="3" xr3:uid="{BEFF9A7F-6073-4CE6-BB4B-D05792A413D1}" name="Selection" dataDxfId="0" dataCellStyle="Currency">
      <calculatedColumnFormula>IF(D3=$B$3,E3,0)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Custom 1">
      <a:dk1>
        <a:sysClr val="windowText" lastClr="000000"/>
      </a:dk1>
      <a:lt1>
        <a:sysClr val="window" lastClr="FFFFFF"/>
      </a:lt1>
      <a:dk2>
        <a:srgbClr val="44546A"/>
      </a:dk2>
      <a:lt2>
        <a:srgbClr val="E7E6E6"/>
      </a:lt2>
      <a:accent1>
        <a:srgbClr val="269999"/>
      </a:accent1>
      <a:accent2>
        <a:srgbClr val="FF5050"/>
      </a:accent2>
      <a:accent3>
        <a:srgbClr val="A5A5A5"/>
      </a:accent3>
      <a:accent4>
        <a:srgbClr val="FF5050"/>
      </a:accent4>
      <a:accent5>
        <a:srgbClr val="269999"/>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4.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52F2C-F2D3-4F44-815D-AF8D50250408}">
  <dimension ref="A1:F1919"/>
  <sheetViews>
    <sheetView workbookViewId="0">
      <selection activeCell="C14" sqref="C14"/>
    </sheetView>
  </sheetViews>
  <sheetFormatPr defaultRowHeight="15" x14ac:dyDescent="0.25"/>
  <cols>
    <col min="1" max="1" width="9.140625" customWidth="1"/>
    <col min="2" max="2" width="21.7109375" customWidth="1"/>
    <col min="3" max="3" width="18.7109375" customWidth="1"/>
    <col min="4" max="4" width="14.5703125" customWidth="1"/>
    <col min="5" max="5" width="10.7109375" customWidth="1"/>
    <col min="6" max="6" width="16.7109375" customWidth="1"/>
    <col min="7" max="18" width="9.140625" customWidth="1"/>
  </cols>
  <sheetData>
    <row r="1" spans="1:6" x14ac:dyDescent="0.25">
      <c r="A1" s="3" t="s">
        <v>50</v>
      </c>
      <c r="B1" s="3" t="s">
        <v>49</v>
      </c>
      <c r="C1" s="3" t="s">
        <v>0</v>
      </c>
      <c r="D1" s="3" t="s">
        <v>61</v>
      </c>
      <c r="E1" s="3" t="s">
        <v>62</v>
      </c>
      <c r="F1" s="3" t="s">
        <v>63</v>
      </c>
    </row>
    <row r="2" spans="1:6" x14ac:dyDescent="0.25">
      <c r="A2">
        <v>2020</v>
      </c>
      <c r="B2" t="s">
        <v>55</v>
      </c>
      <c r="C2" t="s">
        <v>1</v>
      </c>
      <c r="D2" s="1">
        <v>1829</v>
      </c>
      <c r="E2" s="1">
        <v>18051</v>
      </c>
      <c r="F2" s="2">
        <v>58872</v>
      </c>
    </row>
    <row r="3" spans="1:6" x14ac:dyDescent="0.25">
      <c r="A3">
        <v>2020</v>
      </c>
      <c r="B3" t="s">
        <v>55</v>
      </c>
      <c r="C3" t="s">
        <v>2</v>
      </c>
      <c r="D3" s="1">
        <v>1354</v>
      </c>
      <c r="E3" s="1">
        <v>35607</v>
      </c>
      <c r="F3" s="2">
        <v>55216</v>
      </c>
    </row>
    <row r="4" spans="1:6" x14ac:dyDescent="0.25">
      <c r="A4">
        <v>2020</v>
      </c>
      <c r="B4" t="s">
        <v>55</v>
      </c>
      <c r="C4" t="s">
        <v>3</v>
      </c>
      <c r="D4" s="1">
        <v>2565</v>
      </c>
      <c r="E4" s="1">
        <v>15961</v>
      </c>
      <c r="F4" s="2">
        <v>49909</v>
      </c>
    </row>
    <row r="5" spans="1:6" x14ac:dyDescent="0.25">
      <c r="A5">
        <v>2020</v>
      </c>
      <c r="B5" t="s">
        <v>55</v>
      </c>
      <c r="C5" t="s">
        <v>4</v>
      </c>
      <c r="D5" s="1">
        <v>17651</v>
      </c>
      <c r="E5" s="1">
        <v>425665</v>
      </c>
      <c r="F5" s="2">
        <v>42534</v>
      </c>
    </row>
    <row r="6" spans="1:6" x14ac:dyDescent="0.25">
      <c r="A6">
        <v>2020</v>
      </c>
      <c r="B6" t="s">
        <v>55</v>
      </c>
      <c r="C6" t="s">
        <v>5</v>
      </c>
      <c r="D6" s="1">
        <v>3312</v>
      </c>
      <c r="E6" s="1">
        <v>41633</v>
      </c>
      <c r="F6" s="2">
        <v>91879</v>
      </c>
    </row>
    <row r="7" spans="1:6" x14ac:dyDescent="0.25">
      <c r="A7">
        <v>2020</v>
      </c>
      <c r="B7" t="s">
        <v>55</v>
      </c>
      <c r="C7" t="s">
        <v>6</v>
      </c>
      <c r="D7">
        <v>467</v>
      </c>
      <c r="E7" s="1">
        <v>5260</v>
      </c>
      <c r="F7" s="2">
        <v>43142</v>
      </c>
    </row>
    <row r="8" spans="1:6" x14ac:dyDescent="0.25">
      <c r="A8">
        <v>2020</v>
      </c>
      <c r="B8" t="s">
        <v>55</v>
      </c>
      <c r="C8" t="s">
        <v>7</v>
      </c>
      <c r="D8">
        <v>186</v>
      </c>
      <c r="E8" s="1">
        <v>1317</v>
      </c>
      <c r="F8" s="2">
        <v>43290</v>
      </c>
    </row>
    <row r="9" spans="1:6" x14ac:dyDescent="0.25">
      <c r="A9">
        <v>2020</v>
      </c>
      <c r="B9" t="s">
        <v>55</v>
      </c>
      <c r="C9" t="s">
        <v>8</v>
      </c>
      <c r="D9" s="1">
        <v>5394</v>
      </c>
      <c r="E9" s="1">
        <v>71107</v>
      </c>
      <c r="F9" s="2">
        <v>37717</v>
      </c>
    </row>
    <row r="10" spans="1:6" x14ac:dyDescent="0.25">
      <c r="A10">
        <v>2020</v>
      </c>
      <c r="B10" t="s">
        <v>55</v>
      </c>
      <c r="C10" t="s">
        <v>9</v>
      </c>
      <c r="D10" s="1">
        <v>2794</v>
      </c>
      <c r="E10" s="1">
        <v>29309</v>
      </c>
      <c r="F10" s="2">
        <v>45978</v>
      </c>
    </row>
    <row r="11" spans="1:6" x14ac:dyDescent="0.25">
      <c r="A11">
        <v>2020</v>
      </c>
      <c r="B11" t="s">
        <v>55</v>
      </c>
      <c r="C11" t="s">
        <v>10</v>
      </c>
      <c r="D11" s="1">
        <v>2531</v>
      </c>
      <c r="E11" s="1">
        <v>27020</v>
      </c>
      <c r="F11" s="2">
        <v>42820</v>
      </c>
    </row>
    <row r="12" spans="1:6" x14ac:dyDescent="0.25">
      <c r="A12">
        <v>2020</v>
      </c>
      <c r="B12" t="s">
        <v>55</v>
      </c>
      <c r="C12" t="s">
        <v>11</v>
      </c>
      <c r="D12" s="1">
        <v>2818</v>
      </c>
      <c r="E12" s="1">
        <v>24933</v>
      </c>
      <c r="F12" s="2">
        <v>52259</v>
      </c>
    </row>
    <row r="13" spans="1:6" x14ac:dyDescent="0.25">
      <c r="A13">
        <v>2020</v>
      </c>
      <c r="B13" t="s">
        <v>55</v>
      </c>
      <c r="C13" t="s">
        <v>12</v>
      </c>
      <c r="D13" s="1">
        <v>2302</v>
      </c>
      <c r="E13" s="1">
        <v>20872</v>
      </c>
      <c r="F13" s="2">
        <v>50732</v>
      </c>
    </row>
    <row r="14" spans="1:6" x14ac:dyDescent="0.25">
      <c r="A14">
        <v>2020</v>
      </c>
      <c r="B14" t="s">
        <v>55</v>
      </c>
      <c r="C14" t="s">
        <v>13</v>
      </c>
      <c r="D14" s="1">
        <v>2911</v>
      </c>
      <c r="E14" s="1">
        <v>22868</v>
      </c>
      <c r="F14" s="2">
        <v>45588</v>
      </c>
    </row>
    <row r="15" spans="1:6" x14ac:dyDescent="0.25">
      <c r="A15">
        <v>2020</v>
      </c>
      <c r="B15" t="s">
        <v>55</v>
      </c>
      <c r="C15" t="s">
        <v>14</v>
      </c>
      <c r="D15" s="1">
        <v>2613</v>
      </c>
      <c r="E15" s="1">
        <v>18607</v>
      </c>
      <c r="F15" s="2">
        <v>47721</v>
      </c>
    </row>
    <row r="16" spans="1:6" x14ac:dyDescent="0.25">
      <c r="A16">
        <v>2020</v>
      </c>
      <c r="B16" t="s">
        <v>55</v>
      </c>
      <c r="C16" t="s">
        <v>15</v>
      </c>
      <c r="D16" s="1">
        <v>1632</v>
      </c>
      <c r="E16" s="1">
        <v>16061</v>
      </c>
      <c r="F16" s="2">
        <v>54605</v>
      </c>
    </row>
    <row r="17" spans="1:6" x14ac:dyDescent="0.25">
      <c r="A17">
        <v>2020</v>
      </c>
      <c r="B17" t="s">
        <v>55</v>
      </c>
      <c r="C17" t="s">
        <v>16</v>
      </c>
      <c r="D17" s="1">
        <v>3143</v>
      </c>
      <c r="E17" s="1">
        <v>37751</v>
      </c>
      <c r="F17" s="2">
        <v>86727</v>
      </c>
    </row>
    <row r="18" spans="1:6" x14ac:dyDescent="0.25">
      <c r="A18">
        <v>2020</v>
      </c>
      <c r="B18" t="s">
        <v>55</v>
      </c>
      <c r="C18" t="s">
        <v>17</v>
      </c>
      <c r="D18" s="1">
        <v>1581</v>
      </c>
      <c r="E18" s="1">
        <v>7787</v>
      </c>
      <c r="F18" s="2">
        <v>41422</v>
      </c>
    </row>
    <row r="19" spans="1:6" x14ac:dyDescent="0.25">
      <c r="A19">
        <v>2020</v>
      </c>
      <c r="B19" t="s">
        <v>55</v>
      </c>
      <c r="C19" t="s">
        <v>18</v>
      </c>
      <c r="D19">
        <v>720</v>
      </c>
      <c r="E19" s="1">
        <v>7112</v>
      </c>
      <c r="F19" s="2">
        <v>46887</v>
      </c>
    </row>
    <row r="20" spans="1:6" x14ac:dyDescent="0.25">
      <c r="A20">
        <v>2020</v>
      </c>
      <c r="B20" t="s">
        <v>55</v>
      </c>
      <c r="C20" t="s">
        <v>19</v>
      </c>
      <c r="D20">
        <v>999</v>
      </c>
      <c r="E20" s="1">
        <v>11134</v>
      </c>
      <c r="F20" s="2">
        <v>64628</v>
      </c>
    </row>
    <row r="21" spans="1:6" x14ac:dyDescent="0.25">
      <c r="A21">
        <v>2020</v>
      </c>
      <c r="B21" t="s">
        <v>55</v>
      </c>
      <c r="C21" t="s">
        <v>20</v>
      </c>
      <c r="D21" s="1">
        <v>3574</v>
      </c>
      <c r="E21" s="1">
        <v>34897</v>
      </c>
      <c r="F21" s="2">
        <v>43309</v>
      </c>
    </row>
    <row r="22" spans="1:6" x14ac:dyDescent="0.25">
      <c r="A22">
        <v>2020</v>
      </c>
      <c r="B22" t="s">
        <v>55</v>
      </c>
      <c r="C22" t="s">
        <v>21</v>
      </c>
      <c r="D22" s="1">
        <v>3175</v>
      </c>
      <c r="E22" s="1">
        <v>28204</v>
      </c>
      <c r="F22" s="2">
        <v>51276</v>
      </c>
    </row>
    <row r="23" spans="1:6" x14ac:dyDescent="0.25">
      <c r="A23">
        <v>2020</v>
      </c>
      <c r="B23" t="s">
        <v>55</v>
      </c>
      <c r="C23" t="s">
        <v>22</v>
      </c>
      <c r="D23" s="1">
        <v>2070</v>
      </c>
      <c r="E23" s="1">
        <v>14561</v>
      </c>
      <c r="F23" s="2">
        <v>50525</v>
      </c>
    </row>
    <row r="24" spans="1:6" x14ac:dyDescent="0.25">
      <c r="A24">
        <v>2020</v>
      </c>
      <c r="B24" t="s">
        <v>55</v>
      </c>
      <c r="C24" t="s">
        <v>23</v>
      </c>
      <c r="D24" s="1">
        <v>2123</v>
      </c>
      <c r="E24" s="1">
        <v>16963</v>
      </c>
      <c r="F24" s="2">
        <v>46677</v>
      </c>
    </row>
    <row r="25" spans="1:6" x14ac:dyDescent="0.25">
      <c r="A25">
        <v>2020</v>
      </c>
      <c r="B25" t="s">
        <v>55</v>
      </c>
      <c r="C25" t="s">
        <v>24</v>
      </c>
      <c r="D25" s="1">
        <v>1847</v>
      </c>
      <c r="E25" s="1">
        <v>12449</v>
      </c>
      <c r="F25" s="2">
        <v>65945</v>
      </c>
    </row>
    <row r="26" spans="1:6" x14ac:dyDescent="0.25">
      <c r="A26">
        <v>2020</v>
      </c>
      <c r="B26" t="s">
        <v>55</v>
      </c>
      <c r="C26" t="s">
        <v>25</v>
      </c>
      <c r="D26" s="1">
        <v>2469</v>
      </c>
      <c r="E26" s="1">
        <v>16054</v>
      </c>
      <c r="F26" s="2">
        <v>44449</v>
      </c>
    </row>
    <row r="27" spans="1:6" x14ac:dyDescent="0.25">
      <c r="A27">
        <v>2020</v>
      </c>
      <c r="B27" t="s">
        <v>55</v>
      </c>
      <c r="C27" t="s">
        <v>26</v>
      </c>
      <c r="D27">
        <v>598</v>
      </c>
      <c r="E27" s="1">
        <v>19509</v>
      </c>
      <c r="F27" s="2">
        <v>88060</v>
      </c>
    </row>
    <row r="28" spans="1:6" x14ac:dyDescent="0.25">
      <c r="A28">
        <v>2020</v>
      </c>
      <c r="B28" t="s">
        <v>55</v>
      </c>
      <c r="C28" t="s">
        <v>27</v>
      </c>
      <c r="D28">
        <v>350</v>
      </c>
      <c r="E28" s="1">
        <v>2671</v>
      </c>
      <c r="F28" s="2">
        <v>48051</v>
      </c>
    </row>
    <row r="29" spans="1:6" x14ac:dyDescent="0.25">
      <c r="A29">
        <v>2020</v>
      </c>
      <c r="B29" t="s">
        <v>55</v>
      </c>
      <c r="C29" t="s">
        <v>28</v>
      </c>
      <c r="D29">
        <v>999</v>
      </c>
      <c r="E29" s="1">
        <v>11868</v>
      </c>
      <c r="F29" s="2">
        <v>44634</v>
      </c>
    </row>
    <row r="30" spans="1:6" x14ac:dyDescent="0.25">
      <c r="A30">
        <v>2020</v>
      </c>
      <c r="B30" t="s">
        <v>55</v>
      </c>
      <c r="C30" t="s">
        <v>29</v>
      </c>
      <c r="D30" s="1">
        <v>2064</v>
      </c>
      <c r="E30" s="1">
        <v>30471</v>
      </c>
      <c r="F30" s="2">
        <v>65885</v>
      </c>
    </row>
    <row r="31" spans="1:6" x14ac:dyDescent="0.25">
      <c r="A31">
        <v>2020</v>
      </c>
      <c r="B31" t="s">
        <v>55</v>
      </c>
      <c r="C31" t="s">
        <v>30</v>
      </c>
      <c r="D31" s="1">
        <v>3335</v>
      </c>
      <c r="E31" s="1">
        <v>31214</v>
      </c>
      <c r="F31" s="2">
        <v>44384</v>
      </c>
    </row>
    <row r="32" spans="1:6" x14ac:dyDescent="0.25">
      <c r="A32">
        <v>2020</v>
      </c>
      <c r="B32" t="s">
        <v>55</v>
      </c>
      <c r="C32" t="s">
        <v>31</v>
      </c>
      <c r="D32" s="1">
        <v>3428</v>
      </c>
      <c r="E32" s="1">
        <v>29560</v>
      </c>
      <c r="F32" s="2">
        <v>42720</v>
      </c>
    </row>
    <row r="33" spans="1:6" x14ac:dyDescent="0.25">
      <c r="A33">
        <v>2020</v>
      </c>
      <c r="B33" t="s">
        <v>55</v>
      </c>
      <c r="C33" t="s">
        <v>32</v>
      </c>
      <c r="D33" s="1">
        <v>1830</v>
      </c>
      <c r="E33" s="1">
        <v>19954</v>
      </c>
      <c r="F33" s="2">
        <v>92355</v>
      </c>
    </row>
    <row r="34" spans="1:6" x14ac:dyDescent="0.25">
      <c r="A34">
        <v>2020</v>
      </c>
      <c r="B34" t="s">
        <v>55</v>
      </c>
      <c r="C34" t="s">
        <v>33</v>
      </c>
      <c r="D34" s="1">
        <v>2541</v>
      </c>
      <c r="E34" s="1">
        <v>25841</v>
      </c>
      <c r="F34" s="2">
        <v>51404</v>
      </c>
    </row>
    <row r="35" spans="1:6" x14ac:dyDescent="0.25">
      <c r="A35">
        <v>2020</v>
      </c>
      <c r="B35" t="s">
        <v>55</v>
      </c>
      <c r="C35" t="s">
        <v>34</v>
      </c>
      <c r="D35" s="1">
        <v>4355</v>
      </c>
      <c r="E35" s="1">
        <v>40722</v>
      </c>
      <c r="F35" s="2">
        <v>90660</v>
      </c>
    </row>
    <row r="36" spans="1:6" x14ac:dyDescent="0.25">
      <c r="A36">
        <v>2020</v>
      </c>
      <c r="B36" t="s">
        <v>55</v>
      </c>
      <c r="C36" t="s">
        <v>35</v>
      </c>
      <c r="D36" s="1">
        <v>4739</v>
      </c>
      <c r="E36" s="1">
        <v>54360</v>
      </c>
      <c r="F36" s="2">
        <v>40689</v>
      </c>
    </row>
    <row r="37" spans="1:6" x14ac:dyDescent="0.25">
      <c r="A37">
        <v>2020</v>
      </c>
      <c r="B37" t="s">
        <v>55</v>
      </c>
      <c r="C37" t="s">
        <v>36</v>
      </c>
      <c r="D37" s="1">
        <v>3629</v>
      </c>
      <c r="E37" s="1">
        <v>47789</v>
      </c>
      <c r="F37" s="2">
        <v>61949</v>
      </c>
    </row>
    <row r="38" spans="1:6" x14ac:dyDescent="0.25">
      <c r="A38">
        <v>2020</v>
      </c>
      <c r="B38" t="s">
        <v>55</v>
      </c>
      <c r="C38" t="s">
        <v>37</v>
      </c>
      <c r="D38">
        <v>205</v>
      </c>
      <c r="E38" s="1">
        <v>1128</v>
      </c>
      <c r="F38" s="2">
        <v>42071</v>
      </c>
    </row>
    <row r="39" spans="1:6" x14ac:dyDescent="0.25">
      <c r="A39">
        <v>2020</v>
      </c>
      <c r="B39" t="s">
        <v>55</v>
      </c>
      <c r="C39" t="s">
        <v>38</v>
      </c>
      <c r="D39" s="1">
        <v>1375</v>
      </c>
      <c r="E39" s="1">
        <v>12442</v>
      </c>
      <c r="F39" s="2">
        <v>44990</v>
      </c>
    </row>
    <row r="40" spans="1:6" x14ac:dyDescent="0.25">
      <c r="A40">
        <v>2020</v>
      </c>
      <c r="B40" t="s">
        <v>55</v>
      </c>
      <c r="C40" t="s">
        <v>39</v>
      </c>
      <c r="D40" s="1">
        <v>1099</v>
      </c>
      <c r="E40" s="1">
        <v>7137</v>
      </c>
      <c r="F40" s="2">
        <v>45582</v>
      </c>
    </row>
    <row r="41" spans="1:6" x14ac:dyDescent="0.25">
      <c r="A41">
        <v>2020</v>
      </c>
      <c r="B41" t="s">
        <v>55</v>
      </c>
      <c r="C41" t="s">
        <v>40</v>
      </c>
      <c r="D41" s="1">
        <v>1130</v>
      </c>
      <c r="E41" s="1">
        <v>11134</v>
      </c>
      <c r="F41" s="2">
        <v>48930</v>
      </c>
    </row>
    <row r="42" spans="1:6" x14ac:dyDescent="0.25">
      <c r="A42">
        <v>2020</v>
      </c>
      <c r="B42" t="s">
        <v>55</v>
      </c>
      <c r="C42" t="s">
        <v>41</v>
      </c>
      <c r="D42" s="1">
        <v>19698</v>
      </c>
      <c r="E42" s="1">
        <v>249859</v>
      </c>
      <c r="F42" s="2">
        <v>117086</v>
      </c>
    </row>
    <row r="43" spans="1:6" x14ac:dyDescent="0.25">
      <c r="A43">
        <v>2020</v>
      </c>
      <c r="B43" t="s">
        <v>55</v>
      </c>
      <c r="C43" t="s">
        <v>42</v>
      </c>
      <c r="D43" s="1">
        <v>1066</v>
      </c>
      <c r="E43" s="1">
        <v>14648</v>
      </c>
      <c r="F43" s="2">
        <v>65747</v>
      </c>
    </row>
    <row r="44" spans="1:6" x14ac:dyDescent="0.25">
      <c r="A44">
        <v>2020</v>
      </c>
      <c r="B44" t="s">
        <v>55</v>
      </c>
      <c r="C44" t="s">
        <v>43</v>
      </c>
      <c r="D44">
        <v>571</v>
      </c>
      <c r="E44" s="1">
        <v>4095</v>
      </c>
      <c r="F44" s="2">
        <v>41096</v>
      </c>
    </row>
    <row r="45" spans="1:6" x14ac:dyDescent="0.25">
      <c r="A45">
        <v>2020</v>
      </c>
      <c r="B45" t="s">
        <v>55</v>
      </c>
      <c r="C45" t="s">
        <v>44</v>
      </c>
      <c r="D45" s="1">
        <v>2073</v>
      </c>
      <c r="E45" s="1">
        <v>17603</v>
      </c>
      <c r="F45" s="2">
        <v>48671</v>
      </c>
    </row>
    <row r="46" spans="1:6" x14ac:dyDescent="0.25">
      <c r="A46">
        <v>2020</v>
      </c>
      <c r="B46" t="s">
        <v>55</v>
      </c>
      <c r="C46" t="s">
        <v>45</v>
      </c>
      <c r="D46" s="1">
        <v>6971</v>
      </c>
      <c r="E46" s="1">
        <v>101358</v>
      </c>
      <c r="F46" s="2">
        <v>36964</v>
      </c>
    </row>
    <row r="47" spans="1:6" x14ac:dyDescent="0.25">
      <c r="A47">
        <v>2020</v>
      </c>
      <c r="B47" t="s">
        <v>55</v>
      </c>
      <c r="C47" t="s">
        <v>46</v>
      </c>
      <c r="D47" s="1">
        <v>1117</v>
      </c>
      <c r="E47" s="1">
        <v>18455</v>
      </c>
      <c r="F47" s="2">
        <v>78059</v>
      </c>
    </row>
    <row r="48" spans="1:6" x14ac:dyDescent="0.25">
      <c r="A48">
        <v>2020</v>
      </c>
      <c r="B48" t="s">
        <v>55</v>
      </c>
      <c r="C48" t="s">
        <v>47</v>
      </c>
      <c r="D48" s="1">
        <v>2872</v>
      </c>
      <c r="E48" s="1">
        <v>30781</v>
      </c>
      <c r="F48" s="2">
        <v>41928</v>
      </c>
    </row>
    <row r="49" spans="1:6" x14ac:dyDescent="0.25">
      <c r="A49">
        <v>2020</v>
      </c>
      <c r="B49" t="s">
        <v>55</v>
      </c>
      <c r="C49" t="s">
        <v>48</v>
      </c>
      <c r="D49" s="1">
        <v>1440</v>
      </c>
      <c r="E49" s="1">
        <v>19091</v>
      </c>
      <c r="F49" s="2">
        <v>83063</v>
      </c>
    </row>
    <row r="50" spans="1:6" x14ac:dyDescent="0.25">
      <c r="A50">
        <v>2020</v>
      </c>
      <c r="B50" t="s">
        <v>51</v>
      </c>
      <c r="C50" t="s">
        <v>1</v>
      </c>
      <c r="D50" s="1">
        <v>10335</v>
      </c>
      <c r="E50" s="1">
        <v>92772</v>
      </c>
      <c r="F50" s="2">
        <v>59279</v>
      </c>
    </row>
    <row r="51" spans="1:6" x14ac:dyDescent="0.25">
      <c r="A51">
        <v>2020</v>
      </c>
      <c r="B51" t="s">
        <v>51</v>
      </c>
      <c r="C51" t="s">
        <v>2</v>
      </c>
      <c r="D51" s="1">
        <v>14006</v>
      </c>
      <c r="E51" s="1">
        <v>173852</v>
      </c>
      <c r="F51" s="2">
        <v>63056</v>
      </c>
    </row>
    <row r="52" spans="1:6" x14ac:dyDescent="0.25">
      <c r="A52">
        <v>2020</v>
      </c>
      <c r="B52" t="s">
        <v>51</v>
      </c>
      <c r="C52" t="s">
        <v>3</v>
      </c>
      <c r="D52" s="1">
        <v>7277</v>
      </c>
      <c r="E52" s="1">
        <v>53142</v>
      </c>
      <c r="F52" s="2">
        <v>52247</v>
      </c>
    </row>
    <row r="53" spans="1:6" x14ac:dyDescent="0.25">
      <c r="A53">
        <v>2020</v>
      </c>
      <c r="B53" t="s">
        <v>51</v>
      </c>
      <c r="C53" t="s">
        <v>4</v>
      </c>
      <c r="D53" s="1">
        <v>86322</v>
      </c>
      <c r="E53" s="1">
        <v>855879</v>
      </c>
      <c r="F53" s="2">
        <v>76740</v>
      </c>
    </row>
    <row r="54" spans="1:6" x14ac:dyDescent="0.25">
      <c r="A54">
        <v>2020</v>
      </c>
      <c r="B54" t="s">
        <v>51</v>
      </c>
      <c r="C54" t="s">
        <v>5</v>
      </c>
      <c r="D54" s="1">
        <v>21025</v>
      </c>
      <c r="E54" s="1">
        <v>174730</v>
      </c>
      <c r="F54" s="2">
        <v>68209</v>
      </c>
    </row>
    <row r="55" spans="1:6" x14ac:dyDescent="0.25">
      <c r="A55">
        <v>2020</v>
      </c>
      <c r="B55" t="s">
        <v>51</v>
      </c>
      <c r="C55" t="s">
        <v>6</v>
      </c>
      <c r="D55" s="1">
        <v>9415</v>
      </c>
      <c r="E55" s="1">
        <v>56915</v>
      </c>
      <c r="F55" s="2">
        <v>75591</v>
      </c>
    </row>
    <row r="56" spans="1:6" x14ac:dyDescent="0.25">
      <c r="A56">
        <v>2020</v>
      </c>
      <c r="B56" t="s">
        <v>51</v>
      </c>
      <c r="C56" t="s">
        <v>7</v>
      </c>
      <c r="D56" s="1">
        <v>3106</v>
      </c>
      <c r="E56" s="1">
        <v>22403</v>
      </c>
      <c r="F56" s="2">
        <v>64977</v>
      </c>
    </row>
    <row r="57" spans="1:6" x14ac:dyDescent="0.25">
      <c r="A57">
        <v>2020</v>
      </c>
      <c r="B57" t="s">
        <v>51</v>
      </c>
      <c r="C57" t="s">
        <v>8</v>
      </c>
      <c r="D57" s="1">
        <v>76308</v>
      </c>
      <c r="E57" s="1">
        <v>561991</v>
      </c>
      <c r="F57" s="2">
        <v>55910</v>
      </c>
    </row>
    <row r="58" spans="1:6" x14ac:dyDescent="0.25">
      <c r="A58">
        <v>2020</v>
      </c>
      <c r="B58" t="s">
        <v>51</v>
      </c>
      <c r="C58" t="s">
        <v>9</v>
      </c>
      <c r="D58" s="1">
        <v>22906</v>
      </c>
      <c r="E58" s="1">
        <v>200710</v>
      </c>
      <c r="F58" s="2">
        <v>66214</v>
      </c>
    </row>
    <row r="59" spans="1:6" x14ac:dyDescent="0.25">
      <c r="A59">
        <v>2020</v>
      </c>
      <c r="B59" t="s">
        <v>51</v>
      </c>
      <c r="C59" t="s">
        <v>10</v>
      </c>
      <c r="D59" s="1">
        <v>9159</v>
      </c>
      <c r="E59" s="1">
        <v>53385</v>
      </c>
      <c r="F59" s="2">
        <v>48649</v>
      </c>
    </row>
    <row r="60" spans="1:6" x14ac:dyDescent="0.25">
      <c r="A60">
        <v>2020</v>
      </c>
      <c r="B60" t="s">
        <v>51</v>
      </c>
      <c r="C60" t="s">
        <v>11</v>
      </c>
      <c r="D60" s="1">
        <v>32538</v>
      </c>
      <c r="E60" s="1">
        <v>216664</v>
      </c>
      <c r="F60" s="2">
        <v>76581</v>
      </c>
    </row>
    <row r="61" spans="1:6" x14ac:dyDescent="0.25">
      <c r="A61">
        <v>2020</v>
      </c>
      <c r="B61" t="s">
        <v>51</v>
      </c>
      <c r="C61" t="s">
        <v>12</v>
      </c>
      <c r="D61" s="1">
        <v>15617</v>
      </c>
      <c r="E61" s="1">
        <v>144001</v>
      </c>
      <c r="F61" s="2">
        <v>62619</v>
      </c>
    </row>
    <row r="62" spans="1:6" x14ac:dyDescent="0.25">
      <c r="A62">
        <v>2020</v>
      </c>
      <c r="B62" t="s">
        <v>51</v>
      </c>
      <c r="C62" t="s">
        <v>13</v>
      </c>
      <c r="D62" s="1">
        <v>9434</v>
      </c>
      <c r="E62" s="1">
        <v>76561</v>
      </c>
      <c r="F62" s="2">
        <v>61831</v>
      </c>
    </row>
    <row r="63" spans="1:6" x14ac:dyDescent="0.25">
      <c r="A63">
        <v>2020</v>
      </c>
      <c r="B63" t="s">
        <v>51</v>
      </c>
      <c r="C63" t="s">
        <v>14</v>
      </c>
      <c r="D63" s="1">
        <v>7355</v>
      </c>
      <c r="E63" s="1">
        <v>63118</v>
      </c>
      <c r="F63" s="2">
        <v>59126</v>
      </c>
    </row>
    <row r="64" spans="1:6" x14ac:dyDescent="0.25">
      <c r="A64">
        <v>2020</v>
      </c>
      <c r="B64" t="s">
        <v>51</v>
      </c>
      <c r="C64" t="s">
        <v>15</v>
      </c>
      <c r="D64" s="1">
        <v>9832</v>
      </c>
      <c r="E64" s="1">
        <v>77924</v>
      </c>
      <c r="F64" s="2">
        <v>58484</v>
      </c>
    </row>
    <row r="65" spans="1:6" x14ac:dyDescent="0.25">
      <c r="A65">
        <v>2020</v>
      </c>
      <c r="B65" t="s">
        <v>51</v>
      </c>
      <c r="C65" t="s">
        <v>16</v>
      </c>
      <c r="D65" s="1">
        <v>11349</v>
      </c>
      <c r="E65" s="1">
        <v>121521</v>
      </c>
      <c r="F65" s="2">
        <v>65354</v>
      </c>
    </row>
    <row r="66" spans="1:6" x14ac:dyDescent="0.25">
      <c r="A66">
        <v>2020</v>
      </c>
      <c r="B66" t="s">
        <v>51</v>
      </c>
      <c r="C66" t="s">
        <v>17</v>
      </c>
      <c r="D66" s="1">
        <v>5732</v>
      </c>
      <c r="E66" s="1">
        <v>30344</v>
      </c>
      <c r="F66" s="2">
        <v>55607</v>
      </c>
    </row>
    <row r="67" spans="1:6" x14ac:dyDescent="0.25">
      <c r="A67">
        <v>2020</v>
      </c>
      <c r="B67" t="s">
        <v>51</v>
      </c>
      <c r="C67" t="s">
        <v>18</v>
      </c>
      <c r="D67" s="1">
        <v>16346</v>
      </c>
      <c r="E67" s="1">
        <v>160039</v>
      </c>
      <c r="F67" s="2">
        <v>70642</v>
      </c>
    </row>
    <row r="68" spans="1:6" x14ac:dyDescent="0.25">
      <c r="A68">
        <v>2020</v>
      </c>
      <c r="B68" t="s">
        <v>51</v>
      </c>
      <c r="C68" t="s">
        <v>19</v>
      </c>
      <c r="D68" s="1">
        <v>21102</v>
      </c>
      <c r="E68" s="1">
        <v>152366</v>
      </c>
      <c r="F68" s="2">
        <v>84958</v>
      </c>
    </row>
    <row r="69" spans="1:6" x14ac:dyDescent="0.25">
      <c r="A69">
        <v>2020</v>
      </c>
      <c r="B69" t="s">
        <v>51</v>
      </c>
      <c r="C69" t="s">
        <v>20</v>
      </c>
      <c r="D69" s="1">
        <v>21646</v>
      </c>
      <c r="E69" s="1">
        <v>164028</v>
      </c>
      <c r="F69" s="2">
        <v>67631</v>
      </c>
    </row>
    <row r="70" spans="1:6" x14ac:dyDescent="0.25">
      <c r="A70">
        <v>2020</v>
      </c>
      <c r="B70" t="s">
        <v>51</v>
      </c>
      <c r="C70" t="s">
        <v>21</v>
      </c>
      <c r="D70" s="1">
        <v>16952</v>
      </c>
      <c r="E70" s="1">
        <v>123866</v>
      </c>
      <c r="F70" s="2">
        <v>72942</v>
      </c>
    </row>
    <row r="71" spans="1:6" x14ac:dyDescent="0.25">
      <c r="A71">
        <v>2020</v>
      </c>
      <c r="B71" t="s">
        <v>51</v>
      </c>
      <c r="C71" t="s">
        <v>22</v>
      </c>
      <c r="D71" s="1">
        <v>5839</v>
      </c>
      <c r="E71" s="1">
        <v>43888</v>
      </c>
      <c r="F71" s="2">
        <v>53779</v>
      </c>
    </row>
    <row r="72" spans="1:6" x14ac:dyDescent="0.25">
      <c r="A72">
        <v>2020</v>
      </c>
      <c r="B72" t="s">
        <v>51</v>
      </c>
      <c r="C72" t="s">
        <v>23</v>
      </c>
      <c r="D72" s="1">
        <v>15735</v>
      </c>
      <c r="E72" s="1">
        <v>126375</v>
      </c>
      <c r="F72" s="2">
        <v>64664</v>
      </c>
    </row>
    <row r="73" spans="1:6" x14ac:dyDescent="0.25">
      <c r="A73">
        <v>2020</v>
      </c>
      <c r="B73" t="s">
        <v>51</v>
      </c>
      <c r="C73" t="s">
        <v>24</v>
      </c>
      <c r="D73" s="1">
        <v>6813</v>
      </c>
      <c r="E73" s="1">
        <v>30793</v>
      </c>
      <c r="F73" s="2">
        <v>55897</v>
      </c>
    </row>
    <row r="74" spans="1:6" x14ac:dyDescent="0.25">
      <c r="A74">
        <v>2020</v>
      </c>
      <c r="B74" t="s">
        <v>51</v>
      </c>
      <c r="C74" t="s">
        <v>25</v>
      </c>
      <c r="D74" s="1">
        <v>7000</v>
      </c>
      <c r="E74" s="1">
        <v>55249</v>
      </c>
      <c r="F74" s="2">
        <v>56548</v>
      </c>
    </row>
    <row r="75" spans="1:6" x14ac:dyDescent="0.25">
      <c r="A75">
        <v>2020</v>
      </c>
      <c r="B75" t="s">
        <v>51</v>
      </c>
      <c r="C75" t="s">
        <v>26</v>
      </c>
      <c r="D75" s="1">
        <v>5757</v>
      </c>
      <c r="E75" s="1">
        <v>93450</v>
      </c>
      <c r="F75" s="2">
        <v>67902</v>
      </c>
    </row>
    <row r="76" spans="1:6" x14ac:dyDescent="0.25">
      <c r="A76">
        <v>2020</v>
      </c>
      <c r="B76" t="s">
        <v>51</v>
      </c>
      <c r="C76" t="s">
        <v>27</v>
      </c>
      <c r="D76" s="1">
        <v>4901</v>
      </c>
      <c r="E76" s="1">
        <v>27866</v>
      </c>
      <c r="F76" s="2">
        <v>68870</v>
      </c>
    </row>
    <row r="77" spans="1:6" x14ac:dyDescent="0.25">
      <c r="A77">
        <v>2020</v>
      </c>
      <c r="B77" t="s">
        <v>51</v>
      </c>
      <c r="C77" t="s">
        <v>28</v>
      </c>
      <c r="D77" s="1">
        <v>22711</v>
      </c>
      <c r="E77" s="1">
        <v>151469</v>
      </c>
      <c r="F77" s="2">
        <v>77924</v>
      </c>
    </row>
    <row r="78" spans="1:6" x14ac:dyDescent="0.25">
      <c r="A78">
        <v>2020</v>
      </c>
      <c r="B78" t="s">
        <v>51</v>
      </c>
      <c r="C78" t="s">
        <v>29</v>
      </c>
      <c r="D78" s="1">
        <v>5485</v>
      </c>
      <c r="E78" s="1">
        <v>48577</v>
      </c>
      <c r="F78" s="2">
        <v>53439</v>
      </c>
    </row>
    <row r="79" spans="1:6" x14ac:dyDescent="0.25">
      <c r="A79">
        <v>2020</v>
      </c>
      <c r="B79" t="s">
        <v>51</v>
      </c>
      <c r="C79" t="s">
        <v>30</v>
      </c>
      <c r="D79" s="1">
        <v>50929</v>
      </c>
      <c r="E79" s="1">
        <v>361821</v>
      </c>
      <c r="F79" s="2">
        <v>78199</v>
      </c>
    </row>
    <row r="80" spans="1:6" x14ac:dyDescent="0.25">
      <c r="A80">
        <v>2020</v>
      </c>
      <c r="B80" t="s">
        <v>51</v>
      </c>
      <c r="C80" t="s">
        <v>31</v>
      </c>
      <c r="D80" s="1">
        <v>29231</v>
      </c>
      <c r="E80" s="1">
        <v>229369</v>
      </c>
      <c r="F80" s="2">
        <v>59177</v>
      </c>
    </row>
    <row r="81" spans="1:6" x14ac:dyDescent="0.25">
      <c r="A81">
        <v>2020</v>
      </c>
      <c r="B81" t="s">
        <v>51</v>
      </c>
      <c r="C81" t="s">
        <v>32</v>
      </c>
      <c r="D81" s="1">
        <v>3669</v>
      </c>
      <c r="E81" s="1">
        <v>25364</v>
      </c>
      <c r="F81" s="2">
        <v>66729</v>
      </c>
    </row>
    <row r="82" spans="1:6" x14ac:dyDescent="0.25">
      <c r="A82">
        <v>2020</v>
      </c>
      <c r="B82" t="s">
        <v>51</v>
      </c>
      <c r="C82" t="s">
        <v>33</v>
      </c>
      <c r="D82" s="1">
        <v>23650</v>
      </c>
      <c r="E82" s="1">
        <v>218531</v>
      </c>
      <c r="F82" s="2">
        <v>65104</v>
      </c>
    </row>
    <row r="83" spans="1:6" x14ac:dyDescent="0.25">
      <c r="A83">
        <v>2020</v>
      </c>
      <c r="B83" t="s">
        <v>51</v>
      </c>
      <c r="C83" t="s">
        <v>34</v>
      </c>
      <c r="D83" s="1">
        <v>9855</v>
      </c>
      <c r="E83" s="1">
        <v>78772</v>
      </c>
      <c r="F83" s="2">
        <v>55099</v>
      </c>
    </row>
    <row r="84" spans="1:6" x14ac:dyDescent="0.25">
      <c r="A84">
        <v>2020</v>
      </c>
      <c r="B84" t="s">
        <v>51</v>
      </c>
      <c r="C84" t="s">
        <v>35</v>
      </c>
      <c r="D84" s="1">
        <v>14899</v>
      </c>
      <c r="E84" s="1">
        <v>107568</v>
      </c>
      <c r="F84" s="2">
        <v>66876</v>
      </c>
    </row>
    <row r="85" spans="1:6" x14ac:dyDescent="0.25">
      <c r="A85">
        <v>2020</v>
      </c>
      <c r="B85" t="s">
        <v>51</v>
      </c>
      <c r="C85" t="s">
        <v>36</v>
      </c>
      <c r="D85" s="1">
        <v>29345</v>
      </c>
      <c r="E85" s="1">
        <v>241570</v>
      </c>
      <c r="F85" s="2">
        <v>70639</v>
      </c>
    </row>
    <row r="86" spans="1:6" x14ac:dyDescent="0.25">
      <c r="A86">
        <v>2020</v>
      </c>
      <c r="B86" t="s">
        <v>51</v>
      </c>
      <c r="C86" t="s">
        <v>37</v>
      </c>
      <c r="D86" s="1">
        <v>3878</v>
      </c>
      <c r="E86" s="1">
        <v>18924</v>
      </c>
      <c r="F86" s="2">
        <v>66955</v>
      </c>
    </row>
    <row r="87" spans="1:6" x14ac:dyDescent="0.25">
      <c r="A87">
        <v>2020</v>
      </c>
      <c r="B87" t="s">
        <v>51</v>
      </c>
      <c r="C87" t="s">
        <v>38</v>
      </c>
      <c r="D87" s="1">
        <v>13348</v>
      </c>
      <c r="E87" s="1">
        <v>103647</v>
      </c>
      <c r="F87" s="2">
        <v>57906</v>
      </c>
    </row>
    <row r="88" spans="1:6" x14ac:dyDescent="0.25">
      <c r="A88">
        <v>2020</v>
      </c>
      <c r="B88" t="s">
        <v>51</v>
      </c>
      <c r="C88" t="s">
        <v>39</v>
      </c>
      <c r="D88" s="1">
        <v>3954</v>
      </c>
      <c r="E88" s="1">
        <v>24410</v>
      </c>
      <c r="F88" s="2">
        <v>54005</v>
      </c>
    </row>
    <row r="89" spans="1:6" x14ac:dyDescent="0.25">
      <c r="A89">
        <v>2020</v>
      </c>
      <c r="B89" t="s">
        <v>51</v>
      </c>
      <c r="C89" t="s">
        <v>40</v>
      </c>
      <c r="D89" s="1">
        <v>12894</v>
      </c>
      <c r="E89" s="1">
        <v>130050</v>
      </c>
      <c r="F89" s="2">
        <v>62259</v>
      </c>
    </row>
    <row r="90" spans="1:6" x14ac:dyDescent="0.25">
      <c r="A90">
        <v>2020</v>
      </c>
      <c r="B90" t="s">
        <v>51</v>
      </c>
      <c r="C90" t="s">
        <v>41</v>
      </c>
      <c r="D90" s="1">
        <v>55014</v>
      </c>
      <c r="E90" s="1">
        <v>737125</v>
      </c>
      <c r="F90" s="2">
        <v>68929</v>
      </c>
    </row>
    <row r="91" spans="1:6" x14ac:dyDescent="0.25">
      <c r="A91">
        <v>2020</v>
      </c>
      <c r="B91" t="s">
        <v>51</v>
      </c>
      <c r="C91" t="s">
        <v>42</v>
      </c>
      <c r="D91" s="1">
        <v>12932</v>
      </c>
      <c r="E91" s="1">
        <v>115416</v>
      </c>
      <c r="F91" s="2">
        <v>57474</v>
      </c>
    </row>
    <row r="92" spans="1:6" x14ac:dyDescent="0.25">
      <c r="A92">
        <v>2020</v>
      </c>
      <c r="B92" t="s">
        <v>51</v>
      </c>
      <c r="C92" t="s">
        <v>43</v>
      </c>
      <c r="D92" s="1">
        <v>2839</v>
      </c>
      <c r="E92" s="1">
        <v>14269</v>
      </c>
      <c r="F92" s="2">
        <v>55130</v>
      </c>
    </row>
    <row r="93" spans="1:6" x14ac:dyDescent="0.25">
      <c r="A93">
        <v>2020</v>
      </c>
      <c r="B93" t="s">
        <v>51</v>
      </c>
      <c r="C93" t="s">
        <v>44</v>
      </c>
      <c r="D93" s="1">
        <v>21412</v>
      </c>
      <c r="E93" s="1">
        <v>201137</v>
      </c>
      <c r="F93" s="2">
        <v>63521</v>
      </c>
    </row>
    <row r="94" spans="1:6" x14ac:dyDescent="0.25">
      <c r="A94">
        <v>2020</v>
      </c>
      <c r="B94" t="s">
        <v>51</v>
      </c>
      <c r="C94" t="s">
        <v>45</v>
      </c>
      <c r="D94" s="1">
        <v>27072</v>
      </c>
      <c r="E94" s="1">
        <v>199964</v>
      </c>
      <c r="F94" s="2">
        <v>69827</v>
      </c>
    </row>
    <row r="95" spans="1:6" x14ac:dyDescent="0.25">
      <c r="A95">
        <v>2020</v>
      </c>
      <c r="B95" t="s">
        <v>51</v>
      </c>
      <c r="C95" t="s">
        <v>46</v>
      </c>
      <c r="D95" s="1">
        <v>4300</v>
      </c>
      <c r="E95" s="1">
        <v>29583</v>
      </c>
      <c r="F95" s="2">
        <v>60489</v>
      </c>
    </row>
    <row r="96" spans="1:6" x14ac:dyDescent="0.25">
      <c r="A96">
        <v>2020</v>
      </c>
      <c r="B96" t="s">
        <v>51</v>
      </c>
      <c r="C96" t="s">
        <v>47</v>
      </c>
      <c r="D96" s="1">
        <v>14760</v>
      </c>
      <c r="E96" s="1">
        <v>123846</v>
      </c>
      <c r="F96" s="2">
        <v>66423</v>
      </c>
    </row>
    <row r="97" spans="1:6" x14ac:dyDescent="0.25">
      <c r="A97">
        <v>2020</v>
      </c>
      <c r="B97" t="s">
        <v>51</v>
      </c>
      <c r="C97" t="s">
        <v>48</v>
      </c>
      <c r="D97" s="1">
        <v>3478</v>
      </c>
      <c r="E97" s="1">
        <v>21200</v>
      </c>
      <c r="F97" s="2">
        <v>56640</v>
      </c>
    </row>
    <row r="98" spans="1:6" x14ac:dyDescent="0.25">
      <c r="A98">
        <v>2020</v>
      </c>
      <c r="B98" t="s">
        <v>52</v>
      </c>
      <c r="C98" t="s">
        <v>1</v>
      </c>
      <c r="D98" s="1">
        <v>5773</v>
      </c>
      <c r="E98" s="1">
        <v>258328</v>
      </c>
      <c r="F98" s="2">
        <v>60387</v>
      </c>
    </row>
    <row r="99" spans="1:6" x14ac:dyDescent="0.25">
      <c r="A99">
        <v>2020</v>
      </c>
      <c r="B99" t="s">
        <v>52</v>
      </c>
      <c r="C99" t="s">
        <v>2</v>
      </c>
      <c r="D99" s="1">
        <v>5213</v>
      </c>
      <c r="E99" s="1">
        <v>177110</v>
      </c>
      <c r="F99" s="2">
        <v>82375</v>
      </c>
    </row>
    <row r="100" spans="1:6" x14ac:dyDescent="0.25">
      <c r="A100">
        <v>2020</v>
      </c>
      <c r="B100" t="s">
        <v>52</v>
      </c>
      <c r="C100" t="s">
        <v>3</v>
      </c>
      <c r="D100" s="1">
        <v>2961</v>
      </c>
      <c r="E100" s="1">
        <v>154922</v>
      </c>
      <c r="F100" s="2">
        <v>51570</v>
      </c>
    </row>
    <row r="101" spans="1:6" x14ac:dyDescent="0.25">
      <c r="A101">
        <v>2020</v>
      </c>
      <c r="B101" t="s">
        <v>52</v>
      </c>
      <c r="C101" t="s">
        <v>4</v>
      </c>
      <c r="D101" s="1">
        <v>44156</v>
      </c>
      <c r="E101" s="1">
        <v>1263780</v>
      </c>
      <c r="F101" s="2">
        <v>109888</v>
      </c>
    </row>
    <row r="102" spans="1:6" x14ac:dyDescent="0.25">
      <c r="A102">
        <v>2020</v>
      </c>
      <c r="B102" t="s">
        <v>52</v>
      </c>
      <c r="C102" t="s">
        <v>5</v>
      </c>
      <c r="D102" s="1">
        <v>5888</v>
      </c>
      <c r="E102" s="1">
        <v>146473</v>
      </c>
      <c r="F102" s="2">
        <v>77207</v>
      </c>
    </row>
    <row r="103" spans="1:6" x14ac:dyDescent="0.25">
      <c r="A103">
        <v>2020</v>
      </c>
      <c r="B103" t="s">
        <v>52</v>
      </c>
      <c r="C103" t="s">
        <v>6</v>
      </c>
      <c r="D103" s="1">
        <v>4386</v>
      </c>
      <c r="E103" s="1">
        <v>153812</v>
      </c>
      <c r="F103" s="2">
        <v>87706</v>
      </c>
    </row>
    <row r="104" spans="1:6" x14ac:dyDescent="0.25">
      <c r="A104">
        <v>2020</v>
      </c>
      <c r="B104" t="s">
        <v>52</v>
      </c>
      <c r="C104" t="s">
        <v>7</v>
      </c>
      <c r="D104">
        <v>678</v>
      </c>
      <c r="E104" s="1">
        <v>25520</v>
      </c>
      <c r="F104" s="2">
        <v>68049</v>
      </c>
    </row>
    <row r="105" spans="1:6" x14ac:dyDescent="0.25">
      <c r="A105">
        <v>2020</v>
      </c>
      <c r="B105" t="s">
        <v>52</v>
      </c>
      <c r="C105" t="s">
        <v>8</v>
      </c>
      <c r="D105" s="1">
        <v>21275</v>
      </c>
      <c r="E105" s="1">
        <v>376070</v>
      </c>
      <c r="F105" s="2">
        <v>66758</v>
      </c>
    </row>
    <row r="106" spans="1:6" x14ac:dyDescent="0.25">
      <c r="A106">
        <v>2020</v>
      </c>
      <c r="B106" t="s">
        <v>52</v>
      </c>
      <c r="C106" t="s">
        <v>9</v>
      </c>
      <c r="D106" s="1">
        <v>10646</v>
      </c>
      <c r="E106" s="1">
        <v>382938</v>
      </c>
      <c r="F106" s="2">
        <v>60184</v>
      </c>
    </row>
    <row r="107" spans="1:6" x14ac:dyDescent="0.25">
      <c r="A107">
        <v>2020</v>
      </c>
      <c r="B107" t="s">
        <v>52</v>
      </c>
      <c r="C107" t="s">
        <v>10</v>
      </c>
      <c r="D107" s="1">
        <v>2886</v>
      </c>
      <c r="E107" s="1">
        <v>67700</v>
      </c>
      <c r="F107" s="2">
        <v>65603</v>
      </c>
    </row>
    <row r="108" spans="1:6" x14ac:dyDescent="0.25">
      <c r="A108">
        <v>2020</v>
      </c>
      <c r="B108" t="s">
        <v>52</v>
      </c>
      <c r="C108" t="s">
        <v>11</v>
      </c>
      <c r="D108" s="1">
        <v>18033</v>
      </c>
      <c r="E108" s="1">
        <v>554712</v>
      </c>
      <c r="F108" s="2">
        <v>74855</v>
      </c>
    </row>
    <row r="109" spans="1:6" x14ac:dyDescent="0.25">
      <c r="A109">
        <v>2020</v>
      </c>
      <c r="B109" t="s">
        <v>52</v>
      </c>
      <c r="C109" t="s">
        <v>12</v>
      </c>
      <c r="D109" s="1">
        <v>9255</v>
      </c>
      <c r="E109" s="1">
        <v>504460</v>
      </c>
      <c r="F109" s="2">
        <v>65092</v>
      </c>
    </row>
    <row r="110" spans="1:6" x14ac:dyDescent="0.25">
      <c r="A110">
        <v>2020</v>
      </c>
      <c r="B110" t="s">
        <v>52</v>
      </c>
      <c r="C110" t="s">
        <v>13</v>
      </c>
      <c r="D110" s="1">
        <v>4099</v>
      </c>
      <c r="E110" s="1">
        <v>216615</v>
      </c>
      <c r="F110" s="2">
        <v>63103</v>
      </c>
    </row>
    <row r="111" spans="1:6" x14ac:dyDescent="0.25">
      <c r="A111">
        <v>2020</v>
      </c>
      <c r="B111" t="s">
        <v>52</v>
      </c>
      <c r="C111" t="s">
        <v>14</v>
      </c>
      <c r="D111" s="1">
        <v>3109</v>
      </c>
      <c r="E111" s="1">
        <v>158784</v>
      </c>
      <c r="F111" s="2">
        <v>62958</v>
      </c>
    </row>
    <row r="112" spans="1:6" x14ac:dyDescent="0.25">
      <c r="A112">
        <v>2020</v>
      </c>
      <c r="B112" t="s">
        <v>52</v>
      </c>
      <c r="C112" t="s">
        <v>15</v>
      </c>
      <c r="D112" s="1">
        <v>4978</v>
      </c>
      <c r="E112" s="1">
        <v>235564</v>
      </c>
      <c r="F112" s="2">
        <v>62902</v>
      </c>
    </row>
    <row r="113" spans="1:6" x14ac:dyDescent="0.25">
      <c r="A113">
        <v>2020</v>
      </c>
      <c r="B113" t="s">
        <v>52</v>
      </c>
      <c r="C113" t="s">
        <v>16</v>
      </c>
      <c r="D113" s="1">
        <v>4501</v>
      </c>
      <c r="E113" s="1">
        <v>131430</v>
      </c>
      <c r="F113" s="2">
        <v>78183</v>
      </c>
    </row>
    <row r="114" spans="1:6" x14ac:dyDescent="0.25">
      <c r="A114">
        <v>2020</v>
      </c>
      <c r="B114" t="s">
        <v>52</v>
      </c>
      <c r="C114" t="s">
        <v>17</v>
      </c>
      <c r="D114" s="1">
        <v>1863</v>
      </c>
      <c r="E114" s="1">
        <v>50166</v>
      </c>
      <c r="F114" s="2">
        <v>61682</v>
      </c>
    </row>
    <row r="115" spans="1:6" x14ac:dyDescent="0.25">
      <c r="A115">
        <v>2020</v>
      </c>
      <c r="B115" t="s">
        <v>52</v>
      </c>
      <c r="C115" t="s">
        <v>18</v>
      </c>
      <c r="D115" s="1">
        <v>4168</v>
      </c>
      <c r="E115" s="1">
        <v>108500</v>
      </c>
      <c r="F115" s="2">
        <v>85426</v>
      </c>
    </row>
    <row r="116" spans="1:6" x14ac:dyDescent="0.25">
      <c r="A116">
        <v>2020</v>
      </c>
      <c r="B116" t="s">
        <v>52</v>
      </c>
      <c r="C116" t="s">
        <v>19</v>
      </c>
      <c r="D116" s="1">
        <v>6616</v>
      </c>
      <c r="E116" s="1">
        <v>229741</v>
      </c>
      <c r="F116" s="2">
        <v>96190</v>
      </c>
    </row>
    <row r="117" spans="1:6" x14ac:dyDescent="0.25">
      <c r="A117">
        <v>2020</v>
      </c>
      <c r="B117" t="s">
        <v>52</v>
      </c>
      <c r="C117" t="s">
        <v>20</v>
      </c>
      <c r="D117" s="1">
        <v>17437</v>
      </c>
      <c r="E117" s="1">
        <v>554767</v>
      </c>
      <c r="F117" s="2">
        <v>70769</v>
      </c>
    </row>
    <row r="118" spans="1:6" x14ac:dyDescent="0.25">
      <c r="A118">
        <v>2020</v>
      </c>
      <c r="B118" t="s">
        <v>52</v>
      </c>
      <c r="C118" t="s">
        <v>21</v>
      </c>
      <c r="D118" s="1">
        <v>8284</v>
      </c>
      <c r="E118" s="1">
        <v>309006</v>
      </c>
      <c r="F118" s="2">
        <v>70870</v>
      </c>
    </row>
    <row r="119" spans="1:6" x14ac:dyDescent="0.25">
      <c r="A119">
        <v>2020</v>
      </c>
      <c r="B119" t="s">
        <v>52</v>
      </c>
      <c r="C119" t="s">
        <v>22</v>
      </c>
      <c r="D119" s="1">
        <v>2375</v>
      </c>
      <c r="E119" s="1">
        <v>139480</v>
      </c>
      <c r="F119" s="2">
        <v>51918</v>
      </c>
    </row>
    <row r="120" spans="1:6" x14ac:dyDescent="0.25">
      <c r="A120">
        <v>2020</v>
      </c>
      <c r="B120" t="s">
        <v>52</v>
      </c>
      <c r="C120" t="s">
        <v>23</v>
      </c>
      <c r="D120" s="1">
        <v>6859</v>
      </c>
      <c r="E120" s="1">
        <v>266452</v>
      </c>
      <c r="F120" s="2">
        <v>61836</v>
      </c>
    </row>
    <row r="121" spans="1:6" x14ac:dyDescent="0.25">
      <c r="A121">
        <v>2020</v>
      </c>
      <c r="B121" t="s">
        <v>52</v>
      </c>
      <c r="C121" t="s">
        <v>24</v>
      </c>
      <c r="D121" s="1">
        <v>1672</v>
      </c>
      <c r="E121" s="1">
        <v>20421</v>
      </c>
      <c r="F121" s="2">
        <v>54178</v>
      </c>
    </row>
    <row r="122" spans="1:6" x14ac:dyDescent="0.25">
      <c r="A122">
        <v>2020</v>
      </c>
      <c r="B122" t="s">
        <v>52</v>
      </c>
      <c r="C122" t="s">
        <v>25</v>
      </c>
      <c r="D122" s="1">
        <v>1949</v>
      </c>
      <c r="E122" s="1">
        <v>97530</v>
      </c>
      <c r="F122" s="2">
        <v>56492</v>
      </c>
    </row>
    <row r="123" spans="1:6" x14ac:dyDescent="0.25">
      <c r="A123">
        <v>2020</v>
      </c>
      <c r="B123" t="s">
        <v>52</v>
      </c>
      <c r="C123" t="s">
        <v>26</v>
      </c>
      <c r="D123" s="1">
        <v>2054</v>
      </c>
      <c r="E123" s="1">
        <v>55673</v>
      </c>
      <c r="F123" s="2">
        <v>66821</v>
      </c>
    </row>
    <row r="124" spans="1:6" x14ac:dyDescent="0.25">
      <c r="A124">
        <v>2020</v>
      </c>
      <c r="B124" t="s">
        <v>52</v>
      </c>
      <c r="C124" t="s">
        <v>27</v>
      </c>
      <c r="D124" s="1">
        <v>2001</v>
      </c>
      <c r="E124" s="1">
        <v>67282</v>
      </c>
      <c r="F124" s="2">
        <v>77769</v>
      </c>
    </row>
    <row r="125" spans="1:6" x14ac:dyDescent="0.25">
      <c r="A125">
        <v>2020</v>
      </c>
      <c r="B125" t="s">
        <v>52</v>
      </c>
      <c r="C125" t="s">
        <v>28</v>
      </c>
      <c r="D125" s="1">
        <v>8964</v>
      </c>
      <c r="E125" s="1">
        <v>235850</v>
      </c>
      <c r="F125" s="2">
        <v>86277</v>
      </c>
    </row>
    <row r="126" spans="1:6" x14ac:dyDescent="0.25">
      <c r="A126">
        <v>2020</v>
      </c>
      <c r="B126" t="s">
        <v>52</v>
      </c>
      <c r="C126" t="s">
        <v>29</v>
      </c>
      <c r="D126" s="1">
        <v>1776</v>
      </c>
      <c r="E126" s="1">
        <v>27201</v>
      </c>
      <c r="F126" s="2">
        <v>58794</v>
      </c>
    </row>
    <row r="127" spans="1:6" x14ac:dyDescent="0.25">
      <c r="A127">
        <v>2020</v>
      </c>
      <c r="B127" t="s">
        <v>52</v>
      </c>
      <c r="C127" t="s">
        <v>30</v>
      </c>
      <c r="D127" s="1">
        <v>16292</v>
      </c>
      <c r="E127" s="1">
        <v>399337</v>
      </c>
      <c r="F127" s="2">
        <v>73103</v>
      </c>
    </row>
    <row r="128" spans="1:6" x14ac:dyDescent="0.25">
      <c r="A128">
        <v>2020</v>
      </c>
      <c r="B128" t="s">
        <v>52</v>
      </c>
      <c r="C128" t="s">
        <v>31</v>
      </c>
      <c r="D128" s="1">
        <v>10303</v>
      </c>
      <c r="E128" s="1">
        <v>452637</v>
      </c>
      <c r="F128" s="2">
        <v>63281</v>
      </c>
    </row>
    <row r="129" spans="1:6" x14ac:dyDescent="0.25">
      <c r="A129">
        <v>2020</v>
      </c>
      <c r="B129" t="s">
        <v>52</v>
      </c>
      <c r="C129" t="s">
        <v>32</v>
      </c>
      <c r="D129">
        <v>799</v>
      </c>
      <c r="E129" s="1">
        <v>25259</v>
      </c>
      <c r="F129" s="2">
        <v>57695</v>
      </c>
    </row>
    <row r="130" spans="1:6" x14ac:dyDescent="0.25">
      <c r="A130">
        <v>2020</v>
      </c>
      <c r="B130" t="s">
        <v>52</v>
      </c>
      <c r="C130" t="s">
        <v>33</v>
      </c>
      <c r="D130" s="1">
        <v>15453</v>
      </c>
      <c r="E130" s="1">
        <v>653028</v>
      </c>
      <c r="F130" s="2">
        <v>64995</v>
      </c>
    </row>
    <row r="131" spans="1:6" x14ac:dyDescent="0.25">
      <c r="A131">
        <v>2020</v>
      </c>
      <c r="B131" t="s">
        <v>52</v>
      </c>
      <c r="C131" t="s">
        <v>34</v>
      </c>
      <c r="D131" s="1">
        <v>4178</v>
      </c>
      <c r="E131" s="1">
        <v>131206</v>
      </c>
      <c r="F131" s="2">
        <v>60915</v>
      </c>
    </row>
    <row r="132" spans="1:6" x14ac:dyDescent="0.25">
      <c r="A132">
        <v>2020</v>
      </c>
      <c r="B132" t="s">
        <v>52</v>
      </c>
      <c r="C132" t="s">
        <v>35</v>
      </c>
      <c r="D132" s="1">
        <v>6354</v>
      </c>
      <c r="E132" s="1">
        <v>184947</v>
      </c>
      <c r="F132" s="2">
        <v>74927</v>
      </c>
    </row>
    <row r="133" spans="1:6" x14ac:dyDescent="0.25">
      <c r="A133">
        <v>2020</v>
      </c>
      <c r="B133" t="s">
        <v>52</v>
      </c>
      <c r="C133" t="s">
        <v>36</v>
      </c>
      <c r="D133" s="1">
        <v>14363</v>
      </c>
      <c r="E133" s="1">
        <v>537402</v>
      </c>
      <c r="F133" s="2">
        <v>66931</v>
      </c>
    </row>
    <row r="134" spans="1:6" x14ac:dyDescent="0.25">
      <c r="A134">
        <v>2020</v>
      </c>
      <c r="B134" t="s">
        <v>52</v>
      </c>
      <c r="C134" t="s">
        <v>37</v>
      </c>
      <c r="D134" s="1">
        <v>1516</v>
      </c>
      <c r="E134" s="1">
        <v>37411</v>
      </c>
      <c r="F134" s="2">
        <v>63645</v>
      </c>
    </row>
    <row r="135" spans="1:6" x14ac:dyDescent="0.25">
      <c r="A135">
        <v>2020</v>
      </c>
      <c r="B135" t="s">
        <v>52</v>
      </c>
      <c r="C135" t="s">
        <v>38</v>
      </c>
      <c r="D135" s="1">
        <v>6655</v>
      </c>
      <c r="E135" s="1">
        <v>244395</v>
      </c>
      <c r="F135" s="2">
        <v>61779</v>
      </c>
    </row>
    <row r="136" spans="1:6" x14ac:dyDescent="0.25">
      <c r="A136">
        <v>2020</v>
      </c>
      <c r="B136" t="s">
        <v>52</v>
      </c>
      <c r="C136" t="s">
        <v>39</v>
      </c>
      <c r="D136" s="1">
        <v>1072</v>
      </c>
      <c r="E136" s="1">
        <v>43135</v>
      </c>
      <c r="F136" s="2">
        <v>53285</v>
      </c>
    </row>
    <row r="137" spans="1:6" x14ac:dyDescent="0.25">
      <c r="A137">
        <v>2020</v>
      </c>
      <c r="B137" t="s">
        <v>52</v>
      </c>
      <c r="C137" t="s">
        <v>40</v>
      </c>
      <c r="D137" s="1">
        <v>7620</v>
      </c>
      <c r="E137" s="1">
        <v>334972</v>
      </c>
      <c r="F137" s="2">
        <v>63122</v>
      </c>
    </row>
    <row r="138" spans="1:6" x14ac:dyDescent="0.25">
      <c r="A138">
        <v>2020</v>
      </c>
      <c r="B138" t="s">
        <v>52</v>
      </c>
      <c r="C138" t="s">
        <v>41</v>
      </c>
      <c r="D138" s="1">
        <v>26257</v>
      </c>
      <c r="E138" s="1">
        <v>867807</v>
      </c>
      <c r="F138" s="2">
        <v>81206</v>
      </c>
    </row>
    <row r="139" spans="1:6" x14ac:dyDescent="0.25">
      <c r="A139">
        <v>2020</v>
      </c>
      <c r="B139" t="s">
        <v>52</v>
      </c>
      <c r="C139" t="s">
        <v>42</v>
      </c>
      <c r="D139" s="1">
        <v>4616</v>
      </c>
      <c r="E139" s="1">
        <v>135571</v>
      </c>
      <c r="F139" s="2">
        <v>61796</v>
      </c>
    </row>
    <row r="140" spans="1:6" x14ac:dyDescent="0.25">
      <c r="A140">
        <v>2020</v>
      </c>
      <c r="B140" t="s">
        <v>52</v>
      </c>
      <c r="C140" t="s">
        <v>43</v>
      </c>
      <c r="D140" s="1">
        <v>1107</v>
      </c>
      <c r="E140" s="1">
        <v>28176</v>
      </c>
      <c r="F140" s="2">
        <v>62352</v>
      </c>
    </row>
    <row r="141" spans="1:6" x14ac:dyDescent="0.25">
      <c r="A141">
        <v>2020</v>
      </c>
      <c r="B141" t="s">
        <v>52</v>
      </c>
      <c r="C141" t="s">
        <v>44</v>
      </c>
      <c r="D141" s="1">
        <v>7023</v>
      </c>
      <c r="E141" s="1">
        <v>232300</v>
      </c>
      <c r="F141" s="2">
        <v>63958</v>
      </c>
    </row>
    <row r="142" spans="1:6" x14ac:dyDescent="0.25">
      <c r="A142">
        <v>2020</v>
      </c>
      <c r="B142" t="s">
        <v>52</v>
      </c>
      <c r="C142" t="s">
        <v>45</v>
      </c>
      <c r="D142" s="1">
        <v>7882</v>
      </c>
      <c r="E142" s="1">
        <v>268553</v>
      </c>
      <c r="F142" s="2">
        <v>82000</v>
      </c>
    </row>
    <row r="143" spans="1:6" x14ac:dyDescent="0.25">
      <c r="A143">
        <v>2020</v>
      </c>
      <c r="B143" t="s">
        <v>52</v>
      </c>
      <c r="C143" t="s">
        <v>46</v>
      </c>
      <c r="D143" s="1">
        <v>1261</v>
      </c>
      <c r="E143" s="1">
        <v>44429</v>
      </c>
      <c r="F143" s="2">
        <v>62359</v>
      </c>
    </row>
    <row r="144" spans="1:6" x14ac:dyDescent="0.25">
      <c r="A144">
        <v>2020</v>
      </c>
      <c r="B144" t="s">
        <v>52</v>
      </c>
      <c r="C144" t="s">
        <v>47</v>
      </c>
      <c r="D144" s="1">
        <v>9214</v>
      </c>
      <c r="E144" s="1">
        <v>458262</v>
      </c>
      <c r="F144" s="2">
        <v>61039</v>
      </c>
    </row>
    <row r="145" spans="1:6" x14ac:dyDescent="0.25">
      <c r="A145">
        <v>2020</v>
      </c>
      <c r="B145" t="s">
        <v>52</v>
      </c>
      <c r="C145" t="s">
        <v>48</v>
      </c>
      <c r="D145">
        <v>620</v>
      </c>
      <c r="E145" s="1">
        <v>9580</v>
      </c>
      <c r="F145" s="2">
        <v>70308</v>
      </c>
    </row>
    <row r="146" spans="1:6" x14ac:dyDescent="0.25">
      <c r="A146">
        <v>2020</v>
      </c>
      <c r="B146" t="s">
        <v>54</v>
      </c>
      <c r="C146" t="s">
        <v>1</v>
      </c>
      <c r="D146" s="1">
        <v>32424</v>
      </c>
      <c r="E146" s="1">
        <v>372620</v>
      </c>
      <c r="F146" s="2">
        <v>45853</v>
      </c>
    </row>
    <row r="147" spans="1:6" x14ac:dyDescent="0.25">
      <c r="A147">
        <v>2020</v>
      </c>
      <c r="B147" t="s">
        <v>54</v>
      </c>
      <c r="C147" t="s">
        <v>2</v>
      </c>
      <c r="D147" s="1">
        <v>33859</v>
      </c>
      <c r="E147" s="1">
        <v>546143</v>
      </c>
      <c r="F147" s="2">
        <v>51498</v>
      </c>
    </row>
    <row r="148" spans="1:6" x14ac:dyDescent="0.25">
      <c r="A148">
        <v>2020</v>
      </c>
      <c r="B148" t="s">
        <v>54</v>
      </c>
      <c r="C148" t="s">
        <v>3</v>
      </c>
      <c r="D148" s="1">
        <v>21836</v>
      </c>
      <c r="E148" s="1">
        <v>244074</v>
      </c>
      <c r="F148" s="2">
        <v>45673</v>
      </c>
    </row>
    <row r="149" spans="1:6" x14ac:dyDescent="0.25">
      <c r="A149">
        <v>2020</v>
      </c>
      <c r="B149" t="s">
        <v>54</v>
      </c>
      <c r="C149" t="s">
        <v>4</v>
      </c>
      <c r="D149" s="1">
        <v>200632</v>
      </c>
      <c r="E149" s="1">
        <v>2888684</v>
      </c>
      <c r="F149" s="2">
        <v>58800</v>
      </c>
    </row>
    <row r="150" spans="1:6" x14ac:dyDescent="0.25">
      <c r="A150">
        <v>2020</v>
      </c>
      <c r="B150" t="s">
        <v>54</v>
      </c>
      <c r="C150" t="s">
        <v>5</v>
      </c>
      <c r="D150" s="1">
        <v>36421</v>
      </c>
      <c r="E150" s="1">
        <v>465887</v>
      </c>
      <c r="F150" s="2">
        <v>55719</v>
      </c>
    </row>
    <row r="151" spans="1:6" x14ac:dyDescent="0.25">
      <c r="A151">
        <v>2020</v>
      </c>
      <c r="B151" t="s">
        <v>54</v>
      </c>
      <c r="C151" t="s">
        <v>6</v>
      </c>
      <c r="D151" s="1">
        <v>24725</v>
      </c>
      <c r="E151" s="1">
        <v>276491</v>
      </c>
      <c r="F151" s="2">
        <v>55859</v>
      </c>
    </row>
    <row r="152" spans="1:6" x14ac:dyDescent="0.25">
      <c r="A152">
        <v>2020</v>
      </c>
      <c r="B152" t="s">
        <v>54</v>
      </c>
      <c r="C152" t="s">
        <v>7</v>
      </c>
      <c r="D152" s="1">
        <v>7050</v>
      </c>
      <c r="E152" s="1">
        <v>76267</v>
      </c>
      <c r="F152" s="2">
        <v>45667</v>
      </c>
    </row>
    <row r="153" spans="1:6" x14ac:dyDescent="0.25">
      <c r="A153">
        <v>2020</v>
      </c>
      <c r="B153" t="s">
        <v>54</v>
      </c>
      <c r="C153" t="s">
        <v>8</v>
      </c>
      <c r="D153" s="1">
        <v>142700</v>
      </c>
      <c r="E153" s="1">
        <v>1739110</v>
      </c>
      <c r="F153" s="2">
        <v>49391</v>
      </c>
    </row>
    <row r="154" spans="1:6" x14ac:dyDescent="0.25">
      <c r="A154">
        <v>2020</v>
      </c>
      <c r="B154" t="s">
        <v>54</v>
      </c>
      <c r="C154" t="s">
        <v>9</v>
      </c>
      <c r="D154" s="1">
        <v>64380</v>
      </c>
      <c r="E154" s="1">
        <v>913981</v>
      </c>
      <c r="F154" s="2">
        <v>52104</v>
      </c>
    </row>
    <row r="155" spans="1:6" x14ac:dyDescent="0.25">
      <c r="A155">
        <v>2020</v>
      </c>
      <c r="B155" t="s">
        <v>54</v>
      </c>
      <c r="C155" t="s">
        <v>10</v>
      </c>
      <c r="D155" s="1">
        <v>12742</v>
      </c>
      <c r="E155" s="1">
        <v>143264</v>
      </c>
      <c r="F155" s="2">
        <v>44610</v>
      </c>
    </row>
    <row r="156" spans="1:6" x14ac:dyDescent="0.25">
      <c r="A156">
        <v>2020</v>
      </c>
      <c r="B156" t="s">
        <v>54</v>
      </c>
      <c r="C156" t="s">
        <v>11</v>
      </c>
      <c r="D156" s="1">
        <v>78196</v>
      </c>
      <c r="E156" s="1">
        <v>1140749</v>
      </c>
      <c r="F156" s="2">
        <v>55780</v>
      </c>
    </row>
    <row r="157" spans="1:6" x14ac:dyDescent="0.25">
      <c r="A157">
        <v>2020</v>
      </c>
      <c r="B157" t="s">
        <v>54</v>
      </c>
      <c r="C157" t="s">
        <v>12</v>
      </c>
      <c r="D157" s="1">
        <v>40846</v>
      </c>
      <c r="E157" s="1">
        <v>583686</v>
      </c>
      <c r="F157" s="2">
        <v>45931</v>
      </c>
    </row>
    <row r="158" spans="1:6" x14ac:dyDescent="0.25">
      <c r="A158">
        <v>2020</v>
      </c>
      <c r="B158" t="s">
        <v>54</v>
      </c>
      <c r="C158" t="s">
        <v>13</v>
      </c>
      <c r="D158" s="1">
        <v>23479</v>
      </c>
      <c r="E158" s="1">
        <v>298376</v>
      </c>
      <c r="F158" s="2">
        <v>44146</v>
      </c>
    </row>
    <row r="159" spans="1:6" x14ac:dyDescent="0.25">
      <c r="A159">
        <v>2020</v>
      </c>
      <c r="B159" t="s">
        <v>54</v>
      </c>
      <c r="C159" t="s">
        <v>14</v>
      </c>
      <c r="D159" s="1">
        <v>19497</v>
      </c>
      <c r="E159" s="1">
        <v>255575</v>
      </c>
      <c r="F159" s="2">
        <v>46012</v>
      </c>
    </row>
    <row r="160" spans="1:6" x14ac:dyDescent="0.25">
      <c r="A160">
        <v>2020</v>
      </c>
      <c r="B160" t="s">
        <v>54</v>
      </c>
      <c r="C160" t="s">
        <v>15</v>
      </c>
      <c r="D160" s="1">
        <v>28266</v>
      </c>
      <c r="E160" s="1">
        <v>393361</v>
      </c>
      <c r="F160" s="2">
        <v>46839</v>
      </c>
    </row>
    <row r="161" spans="1:6" x14ac:dyDescent="0.25">
      <c r="A161">
        <v>2020</v>
      </c>
      <c r="B161" t="s">
        <v>54</v>
      </c>
      <c r="C161" t="s">
        <v>16</v>
      </c>
      <c r="D161" s="1">
        <v>31210</v>
      </c>
      <c r="E161" s="1">
        <v>358336</v>
      </c>
      <c r="F161" s="2">
        <v>46029</v>
      </c>
    </row>
    <row r="162" spans="1:6" x14ac:dyDescent="0.25">
      <c r="A162">
        <v>2020</v>
      </c>
      <c r="B162" t="s">
        <v>54</v>
      </c>
      <c r="C162" t="s">
        <v>17</v>
      </c>
      <c r="D162" s="1">
        <v>10546</v>
      </c>
      <c r="E162" s="1">
        <v>111483</v>
      </c>
      <c r="F162" s="2">
        <v>43084</v>
      </c>
    </row>
    <row r="163" spans="1:6" x14ac:dyDescent="0.25">
      <c r="A163">
        <v>2020</v>
      </c>
      <c r="B163" t="s">
        <v>54</v>
      </c>
      <c r="C163" t="s">
        <v>18</v>
      </c>
      <c r="D163" s="1">
        <v>31685</v>
      </c>
      <c r="E163" s="1">
        <v>441680</v>
      </c>
      <c r="F163" s="2">
        <v>50800</v>
      </c>
    </row>
    <row r="164" spans="1:6" x14ac:dyDescent="0.25">
      <c r="A164">
        <v>2020</v>
      </c>
      <c r="B164" t="s">
        <v>54</v>
      </c>
      <c r="C164" t="s">
        <v>19</v>
      </c>
      <c r="D164" s="1">
        <v>40751</v>
      </c>
      <c r="E164" s="1">
        <v>526726</v>
      </c>
      <c r="F164" s="2">
        <v>61082</v>
      </c>
    </row>
    <row r="165" spans="1:6" x14ac:dyDescent="0.25">
      <c r="A165">
        <v>2020</v>
      </c>
      <c r="B165" t="s">
        <v>54</v>
      </c>
      <c r="C165" t="s">
        <v>20</v>
      </c>
      <c r="D165" s="1">
        <v>55149</v>
      </c>
      <c r="E165" s="1">
        <v>745824</v>
      </c>
      <c r="F165" s="2">
        <v>51869</v>
      </c>
    </row>
    <row r="166" spans="1:6" x14ac:dyDescent="0.25">
      <c r="A166">
        <v>2020</v>
      </c>
      <c r="B166" t="s">
        <v>54</v>
      </c>
      <c r="C166" t="s">
        <v>21</v>
      </c>
      <c r="D166" s="1">
        <v>37255</v>
      </c>
      <c r="E166" s="1">
        <v>499190</v>
      </c>
      <c r="F166" s="2">
        <v>53843</v>
      </c>
    </row>
    <row r="167" spans="1:6" x14ac:dyDescent="0.25">
      <c r="A167">
        <v>2020</v>
      </c>
      <c r="B167" t="s">
        <v>54</v>
      </c>
      <c r="C167" t="s">
        <v>22</v>
      </c>
      <c r="D167" s="1">
        <v>19589</v>
      </c>
      <c r="E167" s="1">
        <v>226629</v>
      </c>
      <c r="F167" s="2">
        <v>40176</v>
      </c>
    </row>
    <row r="168" spans="1:6" x14ac:dyDescent="0.25">
      <c r="A168">
        <v>2020</v>
      </c>
      <c r="B168" t="s">
        <v>54</v>
      </c>
      <c r="C168" t="s">
        <v>23</v>
      </c>
      <c r="D168" s="1">
        <v>39646</v>
      </c>
      <c r="E168" s="1">
        <v>519916</v>
      </c>
      <c r="F168" s="2">
        <v>46520</v>
      </c>
    </row>
    <row r="169" spans="1:6" x14ac:dyDescent="0.25">
      <c r="A169">
        <v>2020</v>
      </c>
      <c r="B169" t="s">
        <v>54</v>
      </c>
      <c r="C169" t="s">
        <v>24</v>
      </c>
      <c r="D169" s="1">
        <v>9323</v>
      </c>
      <c r="E169" s="1">
        <v>89315</v>
      </c>
      <c r="F169" s="2">
        <v>43996</v>
      </c>
    </row>
    <row r="170" spans="1:6" x14ac:dyDescent="0.25">
      <c r="A170">
        <v>2020</v>
      </c>
      <c r="B170" t="s">
        <v>54</v>
      </c>
      <c r="C170" t="s">
        <v>25</v>
      </c>
      <c r="D170" s="1">
        <v>14748</v>
      </c>
      <c r="E170" s="1">
        <v>182745</v>
      </c>
      <c r="F170" s="2">
        <v>44095</v>
      </c>
    </row>
    <row r="171" spans="1:6" x14ac:dyDescent="0.25">
      <c r="A171">
        <v>2020</v>
      </c>
      <c r="B171" t="s">
        <v>54</v>
      </c>
      <c r="C171" t="s">
        <v>26</v>
      </c>
      <c r="D171" s="1">
        <v>15481</v>
      </c>
      <c r="E171" s="1">
        <v>252623</v>
      </c>
      <c r="F171" s="2">
        <v>48334</v>
      </c>
    </row>
    <row r="172" spans="1:6" x14ac:dyDescent="0.25">
      <c r="A172">
        <v>2020</v>
      </c>
      <c r="B172" t="s">
        <v>54</v>
      </c>
      <c r="C172" t="s">
        <v>27</v>
      </c>
      <c r="D172" s="1">
        <v>12460</v>
      </c>
      <c r="E172" s="1">
        <v>133196</v>
      </c>
      <c r="F172" s="2">
        <v>54425</v>
      </c>
    </row>
    <row r="173" spans="1:6" x14ac:dyDescent="0.25">
      <c r="A173">
        <v>2020</v>
      </c>
      <c r="B173" t="s">
        <v>54</v>
      </c>
      <c r="C173" t="s">
        <v>28</v>
      </c>
      <c r="D173" s="1">
        <v>54606</v>
      </c>
      <c r="E173" s="1">
        <v>820259</v>
      </c>
      <c r="F173" s="2">
        <v>58675</v>
      </c>
    </row>
    <row r="174" spans="1:6" x14ac:dyDescent="0.25">
      <c r="A174">
        <v>2020</v>
      </c>
      <c r="B174" t="s">
        <v>54</v>
      </c>
      <c r="C174" t="s">
        <v>29</v>
      </c>
      <c r="D174" s="1">
        <v>10949</v>
      </c>
      <c r="E174" s="1">
        <v>130261</v>
      </c>
      <c r="F174" s="2">
        <v>41086</v>
      </c>
    </row>
    <row r="175" spans="1:6" x14ac:dyDescent="0.25">
      <c r="A175">
        <v>2020</v>
      </c>
      <c r="B175" t="s">
        <v>54</v>
      </c>
      <c r="C175" t="s">
        <v>30</v>
      </c>
      <c r="D175" s="1">
        <v>118946</v>
      </c>
      <c r="E175" s="1">
        <v>1366746</v>
      </c>
      <c r="F175" s="2">
        <v>57939</v>
      </c>
    </row>
    <row r="176" spans="1:6" x14ac:dyDescent="0.25">
      <c r="A176">
        <v>2020</v>
      </c>
      <c r="B176" t="s">
        <v>54</v>
      </c>
      <c r="C176" t="s">
        <v>31</v>
      </c>
      <c r="D176" s="1">
        <v>63455</v>
      </c>
      <c r="E176" s="1">
        <v>844765</v>
      </c>
      <c r="F176" s="2">
        <v>47171</v>
      </c>
    </row>
    <row r="177" spans="1:6" x14ac:dyDescent="0.25">
      <c r="A177">
        <v>2020</v>
      </c>
      <c r="B177" t="s">
        <v>54</v>
      </c>
      <c r="C177" t="s">
        <v>32</v>
      </c>
      <c r="D177" s="1">
        <v>7745</v>
      </c>
      <c r="E177" s="1">
        <v>86570</v>
      </c>
      <c r="F177" s="2">
        <v>52657</v>
      </c>
    </row>
    <row r="178" spans="1:6" x14ac:dyDescent="0.25">
      <c r="A178">
        <v>2020</v>
      </c>
      <c r="B178" t="s">
        <v>54</v>
      </c>
      <c r="C178" t="s">
        <v>33</v>
      </c>
      <c r="D178" s="1">
        <v>68987</v>
      </c>
      <c r="E178" s="1">
        <v>998325</v>
      </c>
      <c r="F178" s="2">
        <v>48088</v>
      </c>
    </row>
    <row r="179" spans="1:6" x14ac:dyDescent="0.25">
      <c r="A179">
        <v>2020</v>
      </c>
      <c r="B179" t="s">
        <v>54</v>
      </c>
      <c r="C179" t="s">
        <v>34</v>
      </c>
      <c r="D179" s="1">
        <v>23912</v>
      </c>
      <c r="E179" s="1">
        <v>301828</v>
      </c>
      <c r="F179" s="2">
        <v>43388</v>
      </c>
    </row>
    <row r="180" spans="1:6" x14ac:dyDescent="0.25">
      <c r="A180">
        <v>2020</v>
      </c>
      <c r="B180" t="s">
        <v>54</v>
      </c>
      <c r="C180" t="s">
        <v>35</v>
      </c>
      <c r="D180" s="1">
        <v>26241</v>
      </c>
      <c r="E180" s="1">
        <v>346783</v>
      </c>
      <c r="F180" s="2">
        <v>49251</v>
      </c>
    </row>
    <row r="181" spans="1:6" x14ac:dyDescent="0.25">
      <c r="A181">
        <v>2020</v>
      </c>
      <c r="B181" t="s">
        <v>54</v>
      </c>
      <c r="C181" t="s">
        <v>36</v>
      </c>
      <c r="D181" s="1">
        <v>73985</v>
      </c>
      <c r="E181" s="1">
        <v>1054388</v>
      </c>
      <c r="F181" s="2">
        <v>49535</v>
      </c>
    </row>
    <row r="182" spans="1:6" x14ac:dyDescent="0.25">
      <c r="A182">
        <v>2020</v>
      </c>
      <c r="B182" t="s">
        <v>54</v>
      </c>
      <c r="C182" t="s">
        <v>37</v>
      </c>
      <c r="D182" s="1">
        <v>7816</v>
      </c>
      <c r="E182" s="1">
        <v>70764</v>
      </c>
      <c r="F182" s="2">
        <v>49493</v>
      </c>
    </row>
    <row r="183" spans="1:6" x14ac:dyDescent="0.25">
      <c r="A183">
        <v>2020</v>
      </c>
      <c r="B183" t="s">
        <v>54</v>
      </c>
      <c r="C183" t="s">
        <v>38</v>
      </c>
      <c r="D183" s="1">
        <v>31674</v>
      </c>
      <c r="E183" s="1">
        <v>400537</v>
      </c>
      <c r="F183" s="2">
        <v>43717</v>
      </c>
    </row>
    <row r="184" spans="1:6" x14ac:dyDescent="0.25">
      <c r="A184">
        <v>2020</v>
      </c>
      <c r="B184" t="s">
        <v>54</v>
      </c>
      <c r="C184" t="s">
        <v>39</v>
      </c>
      <c r="D184" s="1">
        <v>8068</v>
      </c>
      <c r="E184" s="1">
        <v>83179</v>
      </c>
      <c r="F184" s="2">
        <v>44162</v>
      </c>
    </row>
    <row r="185" spans="1:6" x14ac:dyDescent="0.25">
      <c r="A185">
        <v>2020</v>
      </c>
      <c r="B185" t="s">
        <v>54</v>
      </c>
      <c r="C185" t="s">
        <v>40</v>
      </c>
      <c r="D185" s="1">
        <v>40806</v>
      </c>
      <c r="E185" s="1">
        <v>627005</v>
      </c>
      <c r="F185" s="2">
        <v>50111</v>
      </c>
    </row>
    <row r="186" spans="1:6" x14ac:dyDescent="0.25">
      <c r="A186">
        <v>2020</v>
      </c>
      <c r="B186" t="s">
        <v>54</v>
      </c>
      <c r="C186" t="s">
        <v>41</v>
      </c>
      <c r="D186" s="1">
        <v>152438</v>
      </c>
      <c r="E186" s="1">
        <v>2453267</v>
      </c>
      <c r="F186" s="2">
        <v>56485</v>
      </c>
    </row>
    <row r="187" spans="1:6" x14ac:dyDescent="0.25">
      <c r="A187">
        <v>2020</v>
      </c>
      <c r="B187" t="s">
        <v>54</v>
      </c>
      <c r="C187" t="s">
        <v>42</v>
      </c>
      <c r="D187" s="1">
        <v>20535</v>
      </c>
      <c r="E187" s="1">
        <v>288623</v>
      </c>
      <c r="F187" s="2">
        <v>49353</v>
      </c>
    </row>
    <row r="188" spans="1:6" x14ac:dyDescent="0.25">
      <c r="A188">
        <v>2020</v>
      </c>
      <c r="B188" t="s">
        <v>54</v>
      </c>
      <c r="C188" t="s">
        <v>43</v>
      </c>
      <c r="D188" s="1">
        <v>5003</v>
      </c>
      <c r="E188" s="1">
        <v>49851</v>
      </c>
      <c r="F188" s="2">
        <v>45701</v>
      </c>
    </row>
    <row r="189" spans="1:6" x14ac:dyDescent="0.25">
      <c r="A189">
        <v>2020</v>
      </c>
      <c r="B189" t="s">
        <v>54</v>
      </c>
      <c r="C189" t="s">
        <v>44</v>
      </c>
      <c r="D189" s="1">
        <v>42564</v>
      </c>
      <c r="E189" s="1">
        <v>627729</v>
      </c>
      <c r="F189" s="2">
        <v>48371</v>
      </c>
    </row>
    <row r="190" spans="1:6" x14ac:dyDescent="0.25">
      <c r="A190">
        <v>2020</v>
      </c>
      <c r="B190" t="s">
        <v>54</v>
      </c>
      <c r="C190" t="s">
        <v>45</v>
      </c>
      <c r="D190" s="1">
        <v>38688</v>
      </c>
      <c r="E190" s="1">
        <v>615415</v>
      </c>
      <c r="F190" s="2">
        <v>74160</v>
      </c>
    </row>
    <row r="191" spans="1:6" x14ac:dyDescent="0.25">
      <c r="A191">
        <v>2020</v>
      </c>
      <c r="B191" t="s">
        <v>54</v>
      </c>
      <c r="C191" t="s">
        <v>46</v>
      </c>
      <c r="D191" s="1">
        <v>10611</v>
      </c>
      <c r="E191" s="1">
        <v>118677</v>
      </c>
      <c r="F191" s="2">
        <v>42085</v>
      </c>
    </row>
    <row r="192" spans="1:6" x14ac:dyDescent="0.25">
      <c r="A192">
        <v>2020</v>
      </c>
      <c r="B192" t="s">
        <v>54</v>
      </c>
      <c r="C192" t="s">
        <v>47</v>
      </c>
      <c r="D192" s="1">
        <v>35812</v>
      </c>
      <c r="E192" s="1">
        <v>517930</v>
      </c>
      <c r="F192" s="2">
        <v>45165</v>
      </c>
    </row>
    <row r="193" spans="1:6" x14ac:dyDescent="0.25">
      <c r="A193">
        <v>2020</v>
      </c>
      <c r="B193" t="s">
        <v>54</v>
      </c>
      <c r="C193" t="s">
        <v>48</v>
      </c>
      <c r="D193" s="1">
        <v>4840</v>
      </c>
      <c r="E193" s="1">
        <v>48509</v>
      </c>
      <c r="F193" s="2">
        <v>44879</v>
      </c>
    </row>
    <row r="194" spans="1:6" x14ac:dyDescent="0.25">
      <c r="A194">
        <v>2020</v>
      </c>
      <c r="B194" t="s">
        <v>53</v>
      </c>
      <c r="C194" t="s">
        <v>1</v>
      </c>
      <c r="D194" s="1">
        <v>2566</v>
      </c>
      <c r="E194" s="1">
        <v>19310</v>
      </c>
      <c r="F194" s="2">
        <v>69393</v>
      </c>
    </row>
    <row r="195" spans="1:6" x14ac:dyDescent="0.25">
      <c r="A195">
        <v>2020</v>
      </c>
      <c r="B195" t="s">
        <v>53</v>
      </c>
      <c r="C195" t="s">
        <v>2</v>
      </c>
      <c r="D195" s="1">
        <v>4017</v>
      </c>
      <c r="E195" s="1">
        <v>45513</v>
      </c>
      <c r="F195" s="2">
        <v>90871</v>
      </c>
    </row>
    <row r="196" spans="1:6" x14ac:dyDescent="0.25">
      <c r="A196">
        <v>2020</v>
      </c>
      <c r="B196" t="s">
        <v>53</v>
      </c>
      <c r="C196" t="s">
        <v>3</v>
      </c>
      <c r="D196" s="1">
        <v>1536</v>
      </c>
      <c r="E196" s="1">
        <v>11509</v>
      </c>
      <c r="F196" s="2">
        <v>69820</v>
      </c>
    </row>
    <row r="197" spans="1:6" x14ac:dyDescent="0.25">
      <c r="A197">
        <v>2020</v>
      </c>
      <c r="B197" t="s">
        <v>53</v>
      </c>
      <c r="C197" t="s">
        <v>4</v>
      </c>
      <c r="D197" s="1">
        <v>29491</v>
      </c>
      <c r="E197" s="1">
        <v>527549</v>
      </c>
      <c r="F197" s="2">
        <v>217892</v>
      </c>
    </row>
    <row r="198" spans="1:6" x14ac:dyDescent="0.25">
      <c r="A198">
        <v>2020</v>
      </c>
      <c r="B198" t="s">
        <v>53</v>
      </c>
      <c r="C198" t="s">
        <v>5</v>
      </c>
      <c r="D198" s="1">
        <v>4548</v>
      </c>
      <c r="E198" s="1">
        <v>74867</v>
      </c>
      <c r="F198" s="2">
        <v>123495</v>
      </c>
    </row>
    <row r="199" spans="1:6" x14ac:dyDescent="0.25">
      <c r="A199">
        <v>2020</v>
      </c>
      <c r="B199" t="s">
        <v>53</v>
      </c>
      <c r="C199" t="s">
        <v>6</v>
      </c>
      <c r="D199" s="1">
        <v>2880</v>
      </c>
      <c r="E199" s="1">
        <v>29237</v>
      </c>
      <c r="F199" s="2">
        <v>138917</v>
      </c>
    </row>
    <row r="200" spans="1:6" x14ac:dyDescent="0.25">
      <c r="A200">
        <v>2020</v>
      </c>
      <c r="B200" t="s">
        <v>53</v>
      </c>
      <c r="C200" t="s">
        <v>7</v>
      </c>
      <c r="D200">
        <v>549</v>
      </c>
      <c r="E200" s="1">
        <v>3622</v>
      </c>
      <c r="F200" s="2">
        <v>78966</v>
      </c>
    </row>
    <row r="201" spans="1:6" x14ac:dyDescent="0.25">
      <c r="A201">
        <v>2020</v>
      </c>
      <c r="B201" t="s">
        <v>53</v>
      </c>
      <c r="C201" t="s">
        <v>8</v>
      </c>
      <c r="D201" s="1">
        <v>12659</v>
      </c>
      <c r="E201" s="1">
        <v>130298</v>
      </c>
      <c r="F201" s="2">
        <v>93350</v>
      </c>
    </row>
    <row r="202" spans="1:6" x14ac:dyDescent="0.25">
      <c r="A202">
        <v>2020</v>
      </c>
      <c r="B202" t="s">
        <v>53</v>
      </c>
      <c r="C202" t="s">
        <v>9</v>
      </c>
      <c r="D202" s="1">
        <v>6010</v>
      </c>
      <c r="E202" s="1">
        <v>109190</v>
      </c>
      <c r="F202" s="2">
        <v>108735</v>
      </c>
    </row>
    <row r="203" spans="1:6" x14ac:dyDescent="0.25">
      <c r="A203">
        <v>2020</v>
      </c>
      <c r="B203" t="s">
        <v>53</v>
      </c>
      <c r="C203" t="s">
        <v>10</v>
      </c>
      <c r="D203" s="1">
        <v>1385</v>
      </c>
      <c r="E203" s="1">
        <v>7346</v>
      </c>
      <c r="F203" s="2">
        <v>64408</v>
      </c>
    </row>
    <row r="204" spans="1:6" x14ac:dyDescent="0.25">
      <c r="A204">
        <v>2020</v>
      </c>
      <c r="B204" t="s">
        <v>53</v>
      </c>
      <c r="C204" t="s">
        <v>11</v>
      </c>
      <c r="D204" s="1">
        <v>7162</v>
      </c>
      <c r="E204" s="1">
        <v>87520</v>
      </c>
      <c r="F204" s="2">
        <v>110059</v>
      </c>
    </row>
    <row r="205" spans="1:6" x14ac:dyDescent="0.25">
      <c r="A205">
        <v>2020</v>
      </c>
      <c r="B205" t="s">
        <v>53</v>
      </c>
      <c r="C205" t="s">
        <v>12</v>
      </c>
      <c r="D205" s="1">
        <v>2521</v>
      </c>
      <c r="E205" s="1">
        <v>26075</v>
      </c>
      <c r="F205" s="2">
        <v>67191</v>
      </c>
    </row>
    <row r="206" spans="1:6" x14ac:dyDescent="0.25">
      <c r="A206">
        <v>2020</v>
      </c>
      <c r="B206" t="s">
        <v>53</v>
      </c>
      <c r="C206" t="s">
        <v>13</v>
      </c>
      <c r="D206" s="1">
        <v>1811</v>
      </c>
      <c r="E206" s="1">
        <v>19135</v>
      </c>
      <c r="F206" s="2">
        <v>66858</v>
      </c>
    </row>
    <row r="207" spans="1:6" x14ac:dyDescent="0.25">
      <c r="A207">
        <v>2020</v>
      </c>
      <c r="B207" t="s">
        <v>53</v>
      </c>
      <c r="C207" t="s">
        <v>14</v>
      </c>
      <c r="D207" s="1">
        <v>1561</v>
      </c>
      <c r="E207" s="1">
        <v>16734</v>
      </c>
      <c r="F207" s="2">
        <v>73749</v>
      </c>
    </row>
    <row r="208" spans="1:6" x14ac:dyDescent="0.25">
      <c r="A208">
        <v>2020</v>
      </c>
      <c r="B208" t="s">
        <v>53</v>
      </c>
      <c r="C208" t="s">
        <v>15</v>
      </c>
      <c r="D208" s="1">
        <v>2111</v>
      </c>
      <c r="E208" s="1">
        <v>20268</v>
      </c>
      <c r="F208" s="2">
        <v>63462</v>
      </c>
    </row>
    <row r="209" spans="1:6" x14ac:dyDescent="0.25">
      <c r="A209">
        <v>2020</v>
      </c>
      <c r="B209" t="s">
        <v>53</v>
      </c>
      <c r="C209" t="s">
        <v>16</v>
      </c>
      <c r="D209" s="1">
        <v>1935</v>
      </c>
      <c r="E209" s="1">
        <v>18712</v>
      </c>
      <c r="F209" s="2">
        <v>65700</v>
      </c>
    </row>
    <row r="210" spans="1:6" x14ac:dyDescent="0.25">
      <c r="A210">
        <v>2020</v>
      </c>
      <c r="B210" t="s">
        <v>53</v>
      </c>
      <c r="C210" t="s">
        <v>17</v>
      </c>
      <c r="D210">
        <v>916</v>
      </c>
      <c r="E210" s="1">
        <v>6415</v>
      </c>
      <c r="F210" s="2">
        <v>64265</v>
      </c>
    </row>
    <row r="211" spans="1:6" x14ac:dyDescent="0.25">
      <c r="A211">
        <v>2020</v>
      </c>
      <c r="B211" t="s">
        <v>53</v>
      </c>
      <c r="C211" t="s">
        <v>18</v>
      </c>
      <c r="D211" s="1">
        <v>2855</v>
      </c>
      <c r="E211" s="1">
        <v>33029</v>
      </c>
      <c r="F211" s="2">
        <v>110569</v>
      </c>
    </row>
    <row r="212" spans="1:6" x14ac:dyDescent="0.25">
      <c r="A212">
        <v>2020</v>
      </c>
      <c r="B212" t="s">
        <v>53</v>
      </c>
      <c r="C212" t="s">
        <v>19</v>
      </c>
      <c r="D212" s="1">
        <v>6073</v>
      </c>
      <c r="E212" s="1">
        <v>89231</v>
      </c>
      <c r="F212" s="2">
        <v>146746</v>
      </c>
    </row>
    <row r="213" spans="1:6" x14ac:dyDescent="0.25">
      <c r="A213">
        <v>2020</v>
      </c>
      <c r="B213" t="s">
        <v>53</v>
      </c>
      <c r="C213" t="s">
        <v>20</v>
      </c>
      <c r="D213" s="1">
        <v>7671</v>
      </c>
      <c r="E213" s="1">
        <v>50511</v>
      </c>
      <c r="F213" s="2">
        <v>88745</v>
      </c>
    </row>
    <row r="214" spans="1:6" x14ac:dyDescent="0.25">
      <c r="A214">
        <v>2020</v>
      </c>
      <c r="B214" t="s">
        <v>53</v>
      </c>
      <c r="C214" t="s">
        <v>21</v>
      </c>
      <c r="D214" s="1">
        <v>4304</v>
      </c>
      <c r="E214" s="1">
        <v>43145</v>
      </c>
      <c r="F214" s="2">
        <v>92292</v>
      </c>
    </row>
    <row r="215" spans="1:6" x14ac:dyDescent="0.25">
      <c r="A215">
        <v>2020</v>
      </c>
      <c r="B215" t="s">
        <v>53</v>
      </c>
      <c r="C215" t="s">
        <v>22</v>
      </c>
      <c r="D215">
        <v>964</v>
      </c>
      <c r="E215" s="1">
        <v>9629</v>
      </c>
      <c r="F215" s="2">
        <v>54301</v>
      </c>
    </row>
    <row r="216" spans="1:6" x14ac:dyDescent="0.25">
      <c r="A216">
        <v>2020</v>
      </c>
      <c r="B216" t="s">
        <v>53</v>
      </c>
      <c r="C216" t="s">
        <v>23</v>
      </c>
      <c r="D216" s="1">
        <v>3562</v>
      </c>
      <c r="E216" s="1">
        <v>43675</v>
      </c>
      <c r="F216" s="2">
        <v>89327</v>
      </c>
    </row>
    <row r="217" spans="1:6" x14ac:dyDescent="0.25">
      <c r="A217">
        <v>2020</v>
      </c>
      <c r="B217" t="s">
        <v>53</v>
      </c>
      <c r="C217" t="s">
        <v>24</v>
      </c>
      <c r="D217">
        <v>856</v>
      </c>
      <c r="E217" s="1">
        <v>5797</v>
      </c>
      <c r="F217" s="2">
        <v>65673</v>
      </c>
    </row>
    <row r="218" spans="1:6" x14ac:dyDescent="0.25">
      <c r="A218">
        <v>2020</v>
      </c>
      <c r="B218" t="s">
        <v>53</v>
      </c>
      <c r="C218" t="s">
        <v>25</v>
      </c>
      <c r="D218" s="1">
        <v>1071</v>
      </c>
      <c r="E218" s="1">
        <v>16165</v>
      </c>
      <c r="F218" s="2">
        <v>76361</v>
      </c>
    </row>
    <row r="219" spans="1:6" x14ac:dyDescent="0.25">
      <c r="A219">
        <v>2020</v>
      </c>
      <c r="B219" t="s">
        <v>53</v>
      </c>
      <c r="C219" t="s">
        <v>26</v>
      </c>
      <c r="D219" s="1">
        <v>1609</v>
      </c>
      <c r="E219" s="1">
        <v>13306</v>
      </c>
      <c r="F219" s="2">
        <v>88353</v>
      </c>
    </row>
    <row r="220" spans="1:6" x14ac:dyDescent="0.25">
      <c r="A220">
        <v>2020</v>
      </c>
      <c r="B220" t="s">
        <v>53</v>
      </c>
      <c r="C220" t="s">
        <v>27</v>
      </c>
      <c r="D220" s="1">
        <v>1168</v>
      </c>
      <c r="E220" s="1">
        <v>11735</v>
      </c>
      <c r="F220" s="2">
        <v>107194</v>
      </c>
    </row>
    <row r="221" spans="1:6" x14ac:dyDescent="0.25">
      <c r="A221">
        <v>2020</v>
      </c>
      <c r="B221" t="s">
        <v>53</v>
      </c>
      <c r="C221" t="s">
        <v>28</v>
      </c>
      <c r="D221" s="1">
        <v>3965</v>
      </c>
      <c r="E221" s="1">
        <v>67885</v>
      </c>
      <c r="F221" s="2">
        <v>130541</v>
      </c>
    </row>
    <row r="222" spans="1:6" x14ac:dyDescent="0.25">
      <c r="A222">
        <v>2020</v>
      </c>
      <c r="B222" t="s">
        <v>53</v>
      </c>
      <c r="C222" t="s">
        <v>29</v>
      </c>
      <c r="D222" s="1">
        <v>1108</v>
      </c>
      <c r="E222" s="1">
        <v>9076</v>
      </c>
      <c r="F222" s="2">
        <v>62393</v>
      </c>
    </row>
    <row r="223" spans="1:6" x14ac:dyDescent="0.25">
      <c r="A223">
        <v>2020</v>
      </c>
      <c r="B223" t="s">
        <v>53</v>
      </c>
      <c r="C223" t="s">
        <v>30</v>
      </c>
      <c r="D223" s="1">
        <v>14380</v>
      </c>
      <c r="E223" s="1">
        <v>267749</v>
      </c>
      <c r="F223" s="2">
        <v>154357</v>
      </c>
    </row>
    <row r="224" spans="1:6" x14ac:dyDescent="0.25">
      <c r="A224">
        <v>2020</v>
      </c>
      <c r="B224" t="s">
        <v>53</v>
      </c>
      <c r="C224" t="s">
        <v>31</v>
      </c>
      <c r="D224" s="1">
        <v>6302</v>
      </c>
      <c r="E224" s="1">
        <v>73440</v>
      </c>
      <c r="F224" s="2">
        <v>96207</v>
      </c>
    </row>
    <row r="225" spans="1:6" x14ac:dyDescent="0.25">
      <c r="A225">
        <v>2020</v>
      </c>
      <c r="B225" t="s">
        <v>53</v>
      </c>
      <c r="C225" t="s">
        <v>32</v>
      </c>
      <c r="D225">
        <v>417</v>
      </c>
      <c r="E225" s="1">
        <v>5780</v>
      </c>
      <c r="F225" s="2">
        <v>79624</v>
      </c>
    </row>
    <row r="226" spans="1:6" x14ac:dyDescent="0.25">
      <c r="A226">
        <v>2020</v>
      </c>
      <c r="B226" t="s">
        <v>53</v>
      </c>
      <c r="C226" t="s">
        <v>33</v>
      </c>
      <c r="D226" s="1">
        <v>5303</v>
      </c>
      <c r="E226" s="1">
        <v>63865</v>
      </c>
      <c r="F226" s="2">
        <v>80052</v>
      </c>
    </row>
    <row r="227" spans="1:6" x14ac:dyDescent="0.25">
      <c r="A227">
        <v>2020</v>
      </c>
      <c r="B227" t="s">
        <v>53</v>
      </c>
      <c r="C227" t="s">
        <v>34</v>
      </c>
      <c r="D227" s="1">
        <v>1572</v>
      </c>
      <c r="E227" s="1">
        <v>18256</v>
      </c>
      <c r="F227" s="2">
        <v>63710</v>
      </c>
    </row>
    <row r="228" spans="1:6" x14ac:dyDescent="0.25">
      <c r="A228">
        <v>2020</v>
      </c>
      <c r="B228" t="s">
        <v>53</v>
      </c>
      <c r="C228" t="s">
        <v>35</v>
      </c>
      <c r="D228" s="1">
        <v>4605</v>
      </c>
      <c r="E228" s="1">
        <v>33218</v>
      </c>
      <c r="F228" s="2">
        <v>101737</v>
      </c>
    </row>
    <row r="229" spans="1:6" x14ac:dyDescent="0.25">
      <c r="A229">
        <v>2020</v>
      </c>
      <c r="B229" t="s">
        <v>53</v>
      </c>
      <c r="C229" t="s">
        <v>36</v>
      </c>
      <c r="D229" s="1">
        <v>5891</v>
      </c>
      <c r="E229" s="1">
        <v>82872</v>
      </c>
      <c r="F229" s="2">
        <v>107388</v>
      </c>
    </row>
    <row r="230" spans="1:6" x14ac:dyDescent="0.25">
      <c r="A230">
        <v>2020</v>
      </c>
      <c r="B230" t="s">
        <v>53</v>
      </c>
      <c r="C230" t="s">
        <v>37</v>
      </c>
      <c r="D230">
        <v>762</v>
      </c>
      <c r="E230" s="1">
        <v>5243</v>
      </c>
      <c r="F230" s="2">
        <v>87286</v>
      </c>
    </row>
    <row r="231" spans="1:6" x14ac:dyDescent="0.25">
      <c r="A231">
        <v>2020</v>
      </c>
      <c r="B231" t="s">
        <v>53</v>
      </c>
      <c r="C231" t="s">
        <v>38</v>
      </c>
      <c r="D231" s="1">
        <v>3216</v>
      </c>
      <c r="E231" s="1">
        <v>24744</v>
      </c>
      <c r="F231" s="2">
        <v>73562</v>
      </c>
    </row>
    <row r="232" spans="1:6" x14ac:dyDescent="0.25">
      <c r="A232">
        <v>2020</v>
      </c>
      <c r="B232" t="s">
        <v>53</v>
      </c>
      <c r="C232" t="s">
        <v>39</v>
      </c>
      <c r="D232">
        <v>606</v>
      </c>
      <c r="E232" s="1">
        <v>5074</v>
      </c>
      <c r="F232" s="2">
        <v>58069</v>
      </c>
    </row>
    <row r="233" spans="1:6" x14ac:dyDescent="0.25">
      <c r="A233">
        <v>2020</v>
      </c>
      <c r="B233" t="s">
        <v>53</v>
      </c>
      <c r="C233" t="s">
        <v>40</v>
      </c>
      <c r="D233" s="1">
        <v>4525</v>
      </c>
      <c r="E233" s="1">
        <v>42929</v>
      </c>
      <c r="F233" s="2">
        <v>81293</v>
      </c>
    </row>
    <row r="234" spans="1:6" x14ac:dyDescent="0.25">
      <c r="A234">
        <v>2020</v>
      </c>
      <c r="B234" t="s">
        <v>53</v>
      </c>
      <c r="C234" t="s">
        <v>41</v>
      </c>
      <c r="D234" s="1">
        <v>11822</v>
      </c>
      <c r="E234" s="1">
        <v>198521</v>
      </c>
      <c r="F234" s="2">
        <v>102835</v>
      </c>
    </row>
    <row r="235" spans="1:6" x14ac:dyDescent="0.25">
      <c r="A235">
        <v>2020</v>
      </c>
      <c r="B235" t="s">
        <v>53</v>
      </c>
      <c r="C235" t="s">
        <v>42</v>
      </c>
      <c r="D235" s="1">
        <v>3177</v>
      </c>
      <c r="E235" s="1">
        <v>37222</v>
      </c>
      <c r="F235" s="2">
        <v>96974</v>
      </c>
    </row>
    <row r="236" spans="1:6" x14ac:dyDescent="0.25">
      <c r="A236">
        <v>2020</v>
      </c>
      <c r="B236" t="s">
        <v>53</v>
      </c>
      <c r="C236" t="s">
        <v>43</v>
      </c>
      <c r="D236">
        <v>584</v>
      </c>
      <c r="E236" s="1">
        <v>3961</v>
      </c>
      <c r="F236" s="2">
        <v>68605</v>
      </c>
    </row>
    <row r="237" spans="1:6" x14ac:dyDescent="0.25">
      <c r="A237">
        <v>2020</v>
      </c>
      <c r="B237" t="s">
        <v>53</v>
      </c>
      <c r="C237" t="s">
        <v>44</v>
      </c>
      <c r="D237" s="1">
        <v>4875</v>
      </c>
      <c r="E237" s="1">
        <v>64840</v>
      </c>
      <c r="F237" s="2">
        <v>117848</v>
      </c>
    </row>
    <row r="238" spans="1:6" x14ac:dyDescent="0.25">
      <c r="A238">
        <v>2020</v>
      </c>
      <c r="B238" t="s">
        <v>53</v>
      </c>
      <c r="C238" t="s">
        <v>45</v>
      </c>
      <c r="D238" s="1">
        <v>5419</v>
      </c>
      <c r="E238" s="1">
        <v>148556</v>
      </c>
      <c r="F238" s="2">
        <v>242273</v>
      </c>
    </row>
    <row r="239" spans="1:6" x14ac:dyDescent="0.25">
      <c r="A239">
        <v>2020</v>
      </c>
      <c r="B239" t="s">
        <v>53</v>
      </c>
      <c r="C239" t="s">
        <v>46</v>
      </c>
      <c r="D239">
        <v>825</v>
      </c>
      <c r="E239" s="1">
        <v>7215</v>
      </c>
      <c r="F239" s="2">
        <v>58063</v>
      </c>
    </row>
    <row r="240" spans="1:6" x14ac:dyDescent="0.25">
      <c r="A240">
        <v>2020</v>
      </c>
      <c r="B240" t="s">
        <v>53</v>
      </c>
      <c r="C240" t="s">
        <v>47</v>
      </c>
      <c r="D240" s="1">
        <v>2400</v>
      </c>
      <c r="E240" s="1">
        <v>44846</v>
      </c>
      <c r="F240" s="2">
        <v>88336</v>
      </c>
    </row>
    <row r="241" spans="1:6" x14ac:dyDescent="0.25">
      <c r="A241">
        <v>2020</v>
      </c>
      <c r="B241" t="s">
        <v>53</v>
      </c>
      <c r="C241" t="s">
        <v>48</v>
      </c>
      <c r="D241">
        <v>428</v>
      </c>
      <c r="E241" s="1">
        <v>3000</v>
      </c>
      <c r="F241" s="2">
        <v>54299</v>
      </c>
    </row>
    <row r="242" spans="1:6" x14ac:dyDescent="0.25">
      <c r="A242">
        <v>2020</v>
      </c>
      <c r="B242" t="s">
        <v>56</v>
      </c>
      <c r="C242" t="s">
        <v>1</v>
      </c>
      <c r="D242" s="1">
        <v>13880</v>
      </c>
      <c r="E242" s="1">
        <v>94715</v>
      </c>
      <c r="F242" s="2">
        <v>75982</v>
      </c>
    </row>
    <row r="243" spans="1:6" x14ac:dyDescent="0.25">
      <c r="A243">
        <v>2020</v>
      </c>
      <c r="B243" t="s">
        <v>56</v>
      </c>
      <c r="C243" t="s">
        <v>2</v>
      </c>
      <c r="D243" s="1">
        <v>20707</v>
      </c>
      <c r="E243" s="1">
        <v>225922</v>
      </c>
      <c r="F243" s="2">
        <v>82956</v>
      </c>
    </row>
    <row r="244" spans="1:6" x14ac:dyDescent="0.25">
      <c r="A244">
        <v>2020</v>
      </c>
      <c r="B244" t="s">
        <v>56</v>
      </c>
      <c r="C244" t="s">
        <v>3</v>
      </c>
      <c r="D244" s="1">
        <v>8906</v>
      </c>
      <c r="E244" s="1">
        <v>51950</v>
      </c>
      <c r="F244" s="2">
        <v>65321</v>
      </c>
    </row>
    <row r="245" spans="1:6" x14ac:dyDescent="0.25">
      <c r="A245">
        <v>2020</v>
      </c>
      <c r="B245" t="s">
        <v>56</v>
      </c>
      <c r="C245" t="s">
        <v>4</v>
      </c>
      <c r="D245" s="1">
        <v>112775</v>
      </c>
      <c r="E245" s="1">
        <v>817007</v>
      </c>
      <c r="F245" s="2">
        <v>124107</v>
      </c>
    </row>
    <row r="246" spans="1:6" x14ac:dyDescent="0.25">
      <c r="A246">
        <v>2020</v>
      </c>
      <c r="B246" t="s">
        <v>56</v>
      </c>
      <c r="C246" t="s">
        <v>5</v>
      </c>
      <c r="D246" s="1">
        <v>25139</v>
      </c>
      <c r="E246" s="1">
        <v>165271</v>
      </c>
      <c r="F246" s="2">
        <v>97276</v>
      </c>
    </row>
    <row r="247" spans="1:6" x14ac:dyDescent="0.25">
      <c r="A247">
        <v>2020</v>
      </c>
      <c r="B247" t="s">
        <v>56</v>
      </c>
      <c r="C247" t="s">
        <v>6</v>
      </c>
      <c r="D247" s="1">
        <v>11223</v>
      </c>
      <c r="E247" s="1">
        <v>118168</v>
      </c>
      <c r="F247" s="2">
        <v>165086</v>
      </c>
    </row>
    <row r="248" spans="1:6" x14ac:dyDescent="0.25">
      <c r="A248">
        <v>2020</v>
      </c>
      <c r="B248" t="s">
        <v>56</v>
      </c>
      <c r="C248" t="s">
        <v>7</v>
      </c>
      <c r="D248" s="1">
        <v>3005</v>
      </c>
      <c r="E248" s="1">
        <v>47390</v>
      </c>
      <c r="F248" s="2">
        <v>103154</v>
      </c>
    </row>
    <row r="249" spans="1:6" x14ac:dyDescent="0.25">
      <c r="A249">
        <v>2020</v>
      </c>
      <c r="B249" t="s">
        <v>56</v>
      </c>
      <c r="C249" t="s">
        <v>8</v>
      </c>
      <c r="D249" s="1">
        <v>80956</v>
      </c>
      <c r="E249" s="1">
        <v>586706</v>
      </c>
      <c r="F249" s="2">
        <v>84307</v>
      </c>
    </row>
    <row r="250" spans="1:6" x14ac:dyDescent="0.25">
      <c r="A250">
        <v>2020</v>
      </c>
      <c r="B250" t="s">
        <v>56</v>
      </c>
      <c r="C250" t="s">
        <v>9</v>
      </c>
      <c r="D250" s="1">
        <v>28810</v>
      </c>
      <c r="E250" s="1">
        <v>242175</v>
      </c>
      <c r="F250" s="2">
        <v>93145</v>
      </c>
    </row>
    <row r="251" spans="1:6" x14ac:dyDescent="0.25">
      <c r="A251">
        <v>2020</v>
      </c>
      <c r="B251" t="s">
        <v>56</v>
      </c>
      <c r="C251" t="s">
        <v>10</v>
      </c>
      <c r="D251" s="1">
        <v>6508</v>
      </c>
      <c r="E251" s="1">
        <v>34249</v>
      </c>
      <c r="F251" s="2">
        <v>68833</v>
      </c>
    </row>
    <row r="252" spans="1:6" x14ac:dyDescent="0.25">
      <c r="A252">
        <v>2020</v>
      </c>
      <c r="B252" t="s">
        <v>56</v>
      </c>
      <c r="C252" t="s">
        <v>11</v>
      </c>
      <c r="D252" s="1">
        <v>33063</v>
      </c>
      <c r="E252" s="1">
        <v>376539</v>
      </c>
      <c r="F252" s="2">
        <v>121634</v>
      </c>
    </row>
    <row r="253" spans="1:6" x14ac:dyDescent="0.25">
      <c r="A253">
        <v>2020</v>
      </c>
      <c r="B253" t="s">
        <v>56</v>
      </c>
      <c r="C253" t="s">
        <v>12</v>
      </c>
      <c r="D253" s="1">
        <v>17574</v>
      </c>
      <c r="E253" s="1">
        <v>133449</v>
      </c>
      <c r="F253" s="2">
        <v>72283</v>
      </c>
    </row>
    <row r="254" spans="1:6" x14ac:dyDescent="0.25">
      <c r="A254">
        <v>2020</v>
      </c>
      <c r="B254" t="s">
        <v>56</v>
      </c>
      <c r="C254" t="s">
        <v>13</v>
      </c>
      <c r="D254" s="1">
        <v>10731</v>
      </c>
      <c r="E254" s="1">
        <v>109283</v>
      </c>
      <c r="F254" s="2">
        <v>81131</v>
      </c>
    </row>
    <row r="255" spans="1:6" x14ac:dyDescent="0.25">
      <c r="A255">
        <v>2020</v>
      </c>
      <c r="B255" t="s">
        <v>56</v>
      </c>
      <c r="C255" t="s">
        <v>14</v>
      </c>
      <c r="D255" s="1">
        <v>8752</v>
      </c>
      <c r="E255" s="1">
        <v>73310</v>
      </c>
      <c r="F255" s="2">
        <v>75889</v>
      </c>
    </row>
    <row r="256" spans="1:6" x14ac:dyDescent="0.25">
      <c r="A256">
        <v>2020</v>
      </c>
      <c r="B256" t="s">
        <v>56</v>
      </c>
      <c r="C256" t="s">
        <v>15</v>
      </c>
      <c r="D256" s="1">
        <v>11729</v>
      </c>
      <c r="E256" s="1">
        <v>92079</v>
      </c>
      <c r="F256" s="2">
        <v>75177</v>
      </c>
    </row>
    <row r="257" spans="1:6" x14ac:dyDescent="0.25">
      <c r="A257">
        <v>2020</v>
      </c>
      <c r="B257" t="s">
        <v>56</v>
      </c>
      <c r="C257" t="s">
        <v>16</v>
      </c>
      <c r="D257" s="1">
        <v>14229</v>
      </c>
      <c r="E257" s="1">
        <v>81149</v>
      </c>
      <c r="F257" s="2">
        <v>69409</v>
      </c>
    </row>
    <row r="258" spans="1:6" x14ac:dyDescent="0.25">
      <c r="A258">
        <v>2020</v>
      </c>
      <c r="B258" t="s">
        <v>56</v>
      </c>
      <c r="C258" t="s">
        <v>17</v>
      </c>
      <c r="D258" s="1">
        <v>3926</v>
      </c>
      <c r="E258" s="1">
        <v>30107</v>
      </c>
      <c r="F258" s="2">
        <v>75870</v>
      </c>
    </row>
    <row r="259" spans="1:6" x14ac:dyDescent="0.25">
      <c r="A259">
        <v>2020</v>
      </c>
      <c r="B259" t="s">
        <v>56</v>
      </c>
      <c r="C259" t="s">
        <v>18</v>
      </c>
      <c r="D259" s="1">
        <v>15692</v>
      </c>
      <c r="E259" s="1">
        <v>129771</v>
      </c>
      <c r="F259" s="2">
        <v>110159</v>
      </c>
    </row>
    <row r="260" spans="1:6" x14ac:dyDescent="0.25">
      <c r="A260">
        <v>2020</v>
      </c>
      <c r="B260" t="s">
        <v>56</v>
      </c>
      <c r="C260" t="s">
        <v>19</v>
      </c>
      <c r="D260" s="1">
        <v>18137</v>
      </c>
      <c r="E260" s="1">
        <v>212062</v>
      </c>
      <c r="F260" s="2">
        <v>159120</v>
      </c>
    </row>
    <row r="261" spans="1:6" x14ac:dyDescent="0.25">
      <c r="A261">
        <v>2020</v>
      </c>
      <c r="B261" t="s">
        <v>56</v>
      </c>
      <c r="C261" t="s">
        <v>20</v>
      </c>
      <c r="D261" s="1">
        <v>20626</v>
      </c>
      <c r="E261" s="1">
        <v>207448</v>
      </c>
      <c r="F261" s="2">
        <v>81720</v>
      </c>
    </row>
    <row r="262" spans="1:6" x14ac:dyDescent="0.25">
      <c r="A262">
        <v>2020</v>
      </c>
      <c r="B262" t="s">
        <v>56</v>
      </c>
      <c r="C262" t="s">
        <v>21</v>
      </c>
      <c r="D262" s="1">
        <v>16134</v>
      </c>
      <c r="E262" s="1">
        <v>179728</v>
      </c>
      <c r="F262" s="2">
        <v>104989</v>
      </c>
    </row>
    <row r="263" spans="1:6" x14ac:dyDescent="0.25">
      <c r="A263">
        <v>2020</v>
      </c>
      <c r="B263" t="s">
        <v>56</v>
      </c>
      <c r="C263" t="s">
        <v>22</v>
      </c>
      <c r="D263" s="1">
        <v>7984</v>
      </c>
      <c r="E263" s="1">
        <v>41912</v>
      </c>
      <c r="F263" s="2">
        <v>59263</v>
      </c>
    </row>
    <row r="264" spans="1:6" x14ac:dyDescent="0.25">
      <c r="A264">
        <v>2020</v>
      </c>
      <c r="B264" t="s">
        <v>56</v>
      </c>
      <c r="C264" t="s">
        <v>23</v>
      </c>
      <c r="D264" s="1">
        <v>18815</v>
      </c>
      <c r="E264" s="1">
        <v>165564</v>
      </c>
      <c r="F264" s="2">
        <v>82664</v>
      </c>
    </row>
    <row r="265" spans="1:6" x14ac:dyDescent="0.25">
      <c r="A265">
        <v>2020</v>
      </c>
      <c r="B265" t="s">
        <v>56</v>
      </c>
      <c r="C265" t="s">
        <v>24</v>
      </c>
      <c r="D265" s="1">
        <v>4557</v>
      </c>
      <c r="E265" s="1">
        <v>21986</v>
      </c>
      <c r="F265" s="2">
        <v>67330</v>
      </c>
    </row>
    <row r="266" spans="1:6" x14ac:dyDescent="0.25">
      <c r="A266">
        <v>2020</v>
      </c>
      <c r="B266" t="s">
        <v>56</v>
      </c>
      <c r="C266" t="s">
        <v>25</v>
      </c>
      <c r="D266" s="1">
        <v>7000</v>
      </c>
      <c r="E266" s="1">
        <v>66588</v>
      </c>
      <c r="F266" s="2">
        <v>74942</v>
      </c>
    </row>
    <row r="267" spans="1:6" x14ac:dyDescent="0.25">
      <c r="A267">
        <v>2020</v>
      </c>
      <c r="B267" t="s">
        <v>56</v>
      </c>
      <c r="C267" t="s">
        <v>26</v>
      </c>
      <c r="D267" s="1">
        <v>9293</v>
      </c>
      <c r="E267" s="1">
        <v>62325</v>
      </c>
      <c r="F267" s="2">
        <v>79236</v>
      </c>
    </row>
    <row r="268" spans="1:6" x14ac:dyDescent="0.25">
      <c r="A268">
        <v>2020</v>
      </c>
      <c r="B268" t="s">
        <v>56</v>
      </c>
      <c r="C268" t="s">
        <v>27</v>
      </c>
      <c r="D268" s="1">
        <v>3946</v>
      </c>
      <c r="E268" s="1">
        <v>33027</v>
      </c>
      <c r="F268" s="2">
        <v>109751</v>
      </c>
    </row>
    <row r="269" spans="1:6" x14ac:dyDescent="0.25">
      <c r="A269">
        <v>2020</v>
      </c>
      <c r="B269" t="s">
        <v>56</v>
      </c>
      <c r="C269" t="s">
        <v>28</v>
      </c>
      <c r="D269" s="1">
        <v>20469</v>
      </c>
      <c r="E269" s="1">
        <v>235676</v>
      </c>
      <c r="F269" s="2">
        <v>127870</v>
      </c>
    </row>
    <row r="270" spans="1:6" x14ac:dyDescent="0.25">
      <c r="A270">
        <v>2020</v>
      </c>
      <c r="B270" t="s">
        <v>56</v>
      </c>
      <c r="C270" t="s">
        <v>29</v>
      </c>
      <c r="D270" s="1">
        <v>5600</v>
      </c>
      <c r="E270" s="1">
        <v>32608</v>
      </c>
      <c r="F270" s="2">
        <v>62343</v>
      </c>
    </row>
    <row r="271" spans="1:6" x14ac:dyDescent="0.25">
      <c r="A271">
        <v>2020</v>
      </c>
      <c r="B271" t="s">
        <v>56</v>
      </c>
      <c r="C271" t="s">
        <v>30</v>
      </c>
      <c r="D271" s="1">
        <v>63948</v>
      </c>
      <c r="E271" s="1">
        <v>700031</v>
      </c>
      <c r="F271" s="2">
        <v>207014</v>
      </c>
    </row>
    <row r="272" spans="1:6" x14ac:dyDescent="0.25">
      <c r="A272">
        <v>2020</v>
      </c>
      <c r="B272" t="s">
        <v>56</v>
      </c>
      <c r="C272" t="s">
        <v>31</v>
      </c>
      <c r="D272" s="1">
        <v>30275</v>
      </c>
      <c r="E272" s="1">
        <v>251672</v>
      </c>
      <c r="F272" s="2">
        <v>97234</v>
      </c>
    </row>
    <row r="273" spans="1:6" x14ac:dyDescent="0.25">
      <c r="A273">
        <v>2020</v>
      </c>
      <c r="B273" t="s">
        <v>56</v>
      </c>
      <c r="C273" t="s">
        <v>32</v>
      </c>
      <c r="D273" s="1">
        <v>3042</v>
      </c>
      <c r="E273" s="1">
        <v>22496</v>
      </c>
      <c r="F273" s="2">
        <v>69243</v>
      </c>
    </row>
    <row r="274" spans="1:6" x14ac:dyDescent="0.25">
      <c r="A274">
        <v>2020</v>
      </c>
      <c r="B274" t="s">
        <v>56</v>
      </c>
      <c r="C274" t="s">
        <v>33</v>
      </c>
      <c r="D274" s="1">
        <v>29307</v>
      </c>
      <c r="E274" s="1">
        <v>287990</v>
      </c>
      <c r="F274" s="2">
        <v>82336</v>
      </c>
    </row>
    <row r="275" spans="1:6" x14ac:dyDescent="0.25">
      <c r="A275">
        <v>2020</v>
      </c>
      <c r="B275" t="s">
        <v>56</v>
      </c>
      <c r="C275" t="s">
        <v>34</v>
      </c>
      <c r="D275" s="1">
        <v>11701</v>
      </c>
      <c r="E275" s="1">
        <v>74614</v>
      </c>
      <c r="F275" s="2">
        <v>64030</v>
      </c>
    </row>
    <row r="276" spans="1:6" x14ac:dyDescent="0.25">
      <c r="A276">
        <v>2020</v>
      </c>
      <c r="B276" t="s">
        <v>56</v>
      </c>
      <c r="C276" t="s">
        <v>35</v>
      </c>
      <c r="D276" s="1">
        <v>13352</v>
      </c>
      <c r="E276" s="1">
        <v>83937</v>
      </c>
      <c r="F276" s="2">
        <v>80727</v>
      </c>
    </row>
    <row r="277" spans="1:6" x14ac:dyDescent="0.25">
      <c r="A277">
        <v>2020</v>
      </c>
      <c r="B277" t="s">
        <v>56</v>
      </c>
      <c r="C277" t="s">
        <v>36</v>
      </c>
      <c r="D277" s="1">
        <v>29714</v>
      </c>
      <c r="E277" s="1">
        <v>325571</v>
      </c>
      <c r="F277" s="2">
        <v>97231</v>
      </c>
    </row>
    <row r="278" spans="1:6" x14ac:dyDescent="0.25">
      <c r="A278">
        <v>2020</v>
      </c>
      <c r="B278" t="s">
        <v>56</v>
      </c>
      <c r="C278" t="s">
        <v>37</v>
      </c>
      <c r="D278" s="1">
        <v>3038</v>
      </c>
      <c r="E278" s="1">
        <v>31304</v>
      </c>
      <c r="F278" s="2">
        <v>100316</v>
      </c>
    </row>
    <row r="279" spans="1:6" x14ac:dyDescent="0.25">
      <c r="A279">
        <v>2020</v>
      </c>
      <c r="B279" t="s">
        <v>56</v>
      </c>
      <c r="C279" t="s">
        <v>38</v>
      </c>
      <c r="D279" s="1">
        <v>15078</v>
      </c>
      <c r="E279" s="1">
        <v>101637</v>
      </c>
      <c r="F279" s="2">
        <v>71361</v>
      </c>
    </row>
    <row r="280" spans="1:6" x14ac:dyDescent="0.25">
      <c r="A280">
        <v>2020</v>
      </c>
      <c r="B280" t="s">
        <v>56</v>
      </c>
      <c r="C280" t="s">
        <v>39</v>
      </c>
      <c r="D280" s="1">
        <v>3397</v>
      </c>
      <c r="E280" s="1">
        <v>27809</v>
      </c>
      <c r="F280" s="2">
        <v>69345</v>
      </c>
    </row>
    <row r="281" spans="1:6" x14ac:dyDescent="0.25">
      <c r="A281">
        <v>2020</v>
      </c>
      <c r="B281" t="s">
        <v>56</v>
      </c>
      <c r="C281" t="s">
        <v>40</v>
      </c>
      <c r="D281" s="1">
        <v>16893</v>
      </c>
      <c r="E281" s="1">
        <v>155926</v>
      </c>
      <c r="F281" s="2">
        <v>85116</v>
      </c>
    </row>
    <row r="282" spans="1:6" x14ac:dyDescent="0.25">
      <c r="A282">
        <v>2020</v>
      </c>
      <c r="B282" t="s">
        <v>56</v>
      </c>
      <c r="C282" t="s">
        <v>41</v>
      </c>
      <c r="D282" s="1">
        <v>78940</v>
      </c>
      <c r="E282" s="1">
        <v>778554</v>
      </c>
      <c r="F282" s="2">
        <v>92477</v>
      </c>
    </row>
    <row r="283" spans="1:6" x14ac:dyDescent="0.25">
      <c r="A283">
        <v>2020</v>
      </c>
      <c r="B283" t="s">
        <v>56</v>
      </c>
      <c r="C283" t="s">
        <v>42</v>
      </c>
      <c r="D283" s="1">
        <v>12580</v>
      </c>
      <c r="E283" s="1">
        <v>93379</v>
      </c>
      <c r="F283" s="2">
        <v>79806</v>
      </c>
    </row>
    <row r="284" spans="1:6" x14ac:dyDescent="0.25">
      <c r="A284">
        <v>2020</v>
      </c>
      <c r="B284" t="s">
        <v>56</v>
      </c>
      <c r="C284" t="s">
        <v>43</v>
      </c>
      <c r="D284" s="1">
        <v>1719</v>
      </c>
      <c r="E284" s="1">
        <v>11578</v>
      </c>
      <c r="F284" s="2">
        <v>80135</v>
      </c>
    </row>
    <row r="285" spans="1:6" x14ac:dyDescent="0.25">
      <c r="A285">
        <v>2020</v>
      </c>
      <c r="B285" t="s">
        <v>56</v>
      </c>
      <c r="C285" t="s">
        <v>44</v>
      </c>
      <c r="D285" s="1">
        <v>22750</v>
      </c>
      <c r="E285" s="1">
        <v>195671</v>
      </c>
      <c r="F285" s="2">
        <v>97246</v>
      </c>
    </row>
    <row r="286" spans="1:6" x14ac:dyDescent="0.25">
      <c r="A286">
        <v>2020</v>
      </c>
      <c r="B286" t="s">
        <v>56</v>
      </c>
      <c r="C286" t="s">
        <v>45</v>
      </c>
      <c r="D286" s="1">
        <v>18828</v>
      </c>
      <c r="E286" s="1">
        <v>147772</v>
      </c>
      <c r="F286" s="2">
        <v>95674</v>
      </c>
    </row>
    <row r="287" spans="1:6" x14ac:dyDescent="0.25">
      <c r="A287">
        <v>2020</v>
      </c>
      <c r="B287" t="s">
        <v>56</v>
      </c>
      <c r="C287" t="s">
        <v>46</v>
      </c>
      <c r="D287" s="1">
        <v>4042</v>
      </c>
      <c r="E287" s="1">
        <v>24190</v>
      </c>
      <c r="F287" s="2">
        <v>56764</v>
      </c>
    </row>
    <row r="288" spans="1:6" x14ac:dyDescent="0.25">
      <c r="A288">
        <v>2020</v>
      </c>
      <c r="B288" t="s">
        <v>56</v>
      </c>
      <c r="C288" t="s">
        <v>47</v>
      </c>
      <c r="D288" s="1">
        <v>14688</v>
      </c>
      <c r="E288" s="1">
        <v>148829</v>
      </c>
      <c r="F288" s="2">
        <v>80470</v>
      </c>
    </row>
    <row r="289" spans="1:6" x14ac:dyDescent="0.25">
      <c r="A289">
        <v>2020</v>
      </c>
      <c r="B289" t="s">
        <v>56</v>
      </c>
      <c r="C289" t="s">
        <v>48</v>
      </c>
      <c r="D289" s="1">
        <v>2353</v>
      </c>
      <c r="E289" s="1">
        <v>10919</v>
      </c>
      <c r="F289" s="2">
        <v>64480</v>
      </c>
    </row>
    <row r="290" spans="1:6" x14ac:dyDescent="0.25">
      <c r="A290">
        <v>2020</v>
      </c>
      <c r="B290" t="s">
        <v>57</v>
      </c>
      <c r="C290" t="s">
        <v>1</v>
      </c>
      <c r="D290" s="1">
        <v>22875</v>
      </c>
      <c r="E290" s="1">
        <v>242419</v>
      </c>
      <c r="F290" s="2">
        <v>62111</v>
      </c>
    </row>
    <row r="291" spans="1:6" x14ac:dyDescent="0.25">
      <c r="A291">
        <v>2020</v>
      </c>
      <c r="B291" t="s">
        <v>57</v>
      </c>
      <c r="C291" t="s">
        <v>2</v>
      </c>
      <c r="D291" s="1">
        <v>40867</v>
      </c>
      <c r="E291" s="1">
        <v>431379</v>
      </c>
      <c r="F291" s="2">
        <v>63180</v>
      </c>
    </row>
    <row r="292" spans="1:6" x14ac:dyDescent="0.25">
      <c r="A292">
        <v>2020</v>
      </c>
      <c r="B292" t="s">
        <v>57</v>
      </c>
      <c r="C292" t="s">
        <v>3</v>
      </c>
      <c r="D292" s="1">
        <v>15490</v>
      </c>
      <c r="E292" s="1">
        <v>139300</v>
      </c>
      <c r="F292" s="2">
        <v>68067</v>
      </c>
    </row>
    <row r="293" spans="1:6" x14ac:dyDescent="0.25">
      <c r="A293">
        <v>2020</v>
      </c>
      <c r="B293" t="s">
        <v>57</v>
      </c>
      <c r="C293" t="s">
        <v>4</v>
      </c>
      <c r="D293" s="1">
        <v>221985</v>
      </c>
      <c r="E293" s="1">
        <v>2600604</v>
      </c>
      <c r="F293" s="2">
        <v>106486</v>
      </c>
    </row>
    <row r="294" spans="1:6" x14ac:dyDescent="0.25">
      <c r="A294">
        <v>2020</v>
      </c>
      <c r="B294" t="s">
        <v>57</v>
      </c>
      <c r="C294" t="s">
        <v>5</v>
      </c>
      <c r="D294" s="1">
        <v>58286</v>
      </c>
      <c r="E294" s="1">
        <v>430367</v>
      </c>
      <c r="F294" s="2">
        <v>90744</v>
      </c>
    </row>
    <row r="295" spans="1:6" x14ac:dyDescent="0.25">
      <c r="A295">
        <v>2020</v>
      </c>
      <c r="B295" t="s">
        <v>57</v>
      </c>
      <c r="C295" t="s">
        <v>6</v>
      </c>
      <c r="D295" s="1">
        <v>24131</v>
      </c>
      <c r="E295" s="1">
        <v>206629</v>
      </c>
      <c r="F295" s="2">
        <v>95714</v>
      </c>
    </row>
    <row r="296" spans="1:6" x14ac:dyDescent="0.25">
      <c r="A296">
        <v>2020</v>
      </c>
      <c r="B296" t="s">
        <v>57</v>
      </c>
      <c r="C296" t="s">
        <v>7</v>
      </c>
      <c r="D296" s="1">
        <v>9766</v>
      </c>
      <c r="E296" s="1">
        <v>61669</v>
      </c>
      <c r="F296" s="2">
        <v>85651</v>
      </c>
    </row>
    <row r="297" spans="1:6" x14ac:dyDescent="0.25">
      <c r="A297">
        <v>2020</v>
      </c>
      <c r="B297" t="s">
        <v>57</v>
      </c>
      <c r="C297" t="s">
        <v>8</v>
      </c>
      <c r="D297" s="1">
        <v>179893</v>
      </c>
      <c r="E297" s="1">
        <v>1358317</v>
      </c>
      <c r="F297" s="2">
        <v>68223</v>
      </c>
    </row>
    <row r="298" spans="1:6" x14ac:dyDescent="0.25">
      <c r="A298">
        <v>2020</v>
      </c>
      <c r="B298" t="s">
        <v>57</v>
      </c>
      <c r="C298" t="s">
        <v>9</v>
      </c>
      <c r="D298" s="1">
        <v>60683</v>
      </c>
      <c r="E298" s="1">
        <v>692452</v>
      </c>
      <c r="F298" s="2">
        <v>76331</v>
      </c>
    </row>
    <row r="299" spans="1:6" x14ac:dyDescent="0.25">
      <c r="A299">
        <v>2020</v>
      </c>
      <c r="B299" t="s">
        <v>57</v>
      </c>
      <c r="C299" t="s">
        <v>10</v>
      </c>
      <c r="D299" s="1">
        <v>12911</v>
      </c>
      <c r="E299" s="1">
        <v>97097</v>
      </c>
      <c r="F299" s="2">
        <v>59743</v>
      </c>
    </row>
    <row r="300" spans="1:6" x14ac:dyDescent="0.25">
      <c r="A300">
        <v>2020</v>
      </c>
      <c r="B300" t="s">
        <v>57</v>
      </c>
      <c r="C300" t="s">
        <v>11</v>
      </c>
      <c r="D300" s="1">
        <v>75904</v>
      </c>
      <c r="E300" s="1">
        <v>892150</v>
      </c>
      <c r="F300" s="2">
        <v>83889</v>
      </c>
    </row>
    <row r="301" spans="1:6" x14ac:dyDescent="0.25">
      <c r="A301">
        <v>2020</v>
      </c>
      <c r="B301" t="s">
        <v>57</v>
      </c>
      <c r="C301" t="s">
        <v>12</v>
      </c>
      <c r="D301" s="1">
        <v>32143</v>
      </c>
      <c r="E301" s="1">
        <v>326745</v>
      </c>
      <c r="F301" s="2">
        <v>58578</v>
      </c>
    </row>
    <row r="302" spans="1:6" x14ac:dyDescent="0.25">
      <c r="A302">
        <v>2020</v>
      </c>
      <c r="B302" t="s">
        <v>57</v>
      </c>
      <c r="C302" t="s">
        <v>13</v>
      </c>
      <c r="D302" s="1">
        <v>16706</v>
      </c>
      <c r="E302" s="1">
        <v>134822</v>
      </c>
      <c r="F302" s="2">
        <v>61793</v>
      </c>
    </row>
    <row r="303" spans="1:6" x14ac:dyDescent="0.25">
      <c r="A303">
        <v>2020</v>
      </c>
      <c r="B303" t="s">
        <v>57</v>
      </c>
      <c r="C303" t="s">
        <v>14</v>
      </c>
      <c r="D303" s="1">
        <v>16823</v>
      </c>
      <c r="E303" s="1">
        <v>168813</v>
      </c>
      <c r="F303" s="2">
        <v>69538</v>
      </c>
    </row>
    <row r="304" spans="1:6" x14ac:dyDescent="0.25">
      <c r="A304">
        <v>2020</v>
      </c>
      <c r="B304" t="s">
        <v>57</v>
      </c>
      <c r="C304" t="s">
        <v>15</v>
      </c>
      <c r="D304" s="1">
        <v>22329</v>
      </c>
      <c r="E304" s="1">
        <v>207575</v>
      </c>
      <c r="F304" s="2">
        <v>55987</v>
      </c>
    </row>
    <row r="305" spans="1:6" x14ac:dyDescent="0.25">
      <c r="A305">
        <v>2020</v>
      </c>
      <c r="B305" t="s">
        <v>57</v>
      </c>
      <c r="C305" t="s">
        <v>16</v>
      </c>
      <c r="D305" s="1">
        <v>26262</v>
      </c>
      <c r="E305" s="1">
        <v>204729</v>
      </c>
      <c r="F305" s="2">
        <v>60136</v>
      </c>
    </row>
    <row r="306" spans="1:6" x14ac:dyDescent="0.25">
      <c r="A306">
        <v>2020</v>
      </c>
      <c r="B306" t="s">
        <v>57</v>
      </c>
      <c r="C306" t="s">
        <v>17</v>
      </c>
      <c r="D306" s="1">
        <v>11267</v>
      </c>
      <c r="E306" s="1">
        <v>68952</v>
      </c>
      <c r="F306" s="2">
        <v>66178</v>
      </c>
    </row>
    <row r="307" spans="1:6" x14ac:dyDescent="0.25">
      <c r="A307">
        <v>2020</v>
      </c>
      <c r="B307" t="s">
        <v>57</v>
      </c>
      <c r="C307" t="s">
        <v>18</v>
      </c>
      <c r="D307" s="1">
        <v>44172</v>
      </c>
      <c r="E307" s="1">
        <v>441860</v>
      </c>
      <c r="F307" s="2">
        <v>88391</v>
      </c>
    </row>
    <row r="308" spans="1:6" x14ac:dyDescent="0.25">
      <c r="A308">
        <v>2020</v>
      </c>
      <c r="B308" t="s">
        <v>57</v>
      </c>
      <c r="C308" t="s">
        <v>19</v>
      </c>
      <c r="D308" s="1">
        <v>48428</v>
      </c>
      <c r="E308" s="1">
        <v>583792</v>
      </c>
      <c r="F308" s="2">
        <v>124638</v>
      </c>
    </row>
    <row r="309" spans="1:6" x14ac:dyDescent="0.25">
      <c r="A309">
        <v>2020</v>
      </c>
      <c r="B309" t="s">
        <v>57</v>
      </c>
      <c r="C309" t="s">
        <v>20</v>
      </c>
      <c r="D309" s="1">
        <v>46269</v>
      </c>
      <c r="E309" s="1">
        <v>599657</v>
      </c>
      <c r="F309" s="2">
        <v>76432</v>
      </c>
    </row>
    <row r="310" spans="1:6" x14ac:dyDescent="0.25">
      <c r="A310">
        <v>2020</v>
      </c>
      <c r="B310" t="s">
        <v>57</v>
      </c>
      <c r="C310" t="s">
        <v>21</v>
      </c>
      <c r="D310" s="1">
        <v>33603</v>
      </c>
      <c r="E310" s="1">
        <v>361183</v>
      </c>
      <c r="F310" s="2">
        <v>91033</v>
      </c>
    </row>
    <row r="311" spans="1:6" x14ac:dyDescent="0.25">
      <c r="A311">
        <v>2020</v>
      </c>
      <c r="B311" t="s">
        <v>57</v>
      </c>
      <c r="C311" t="s">
        <v>22</v>
      </c>
      <c r="D311" s="1">
        <v>12692</v>
      </c>
      <c r="E311" s="1">
        <v>107758</v>
      </c>
      <c r="F311" s="2">
        <v>45573</v>
      </c>
    </row>
    <row r="312" spans="1:6" x14ac:dyDescent="0.25">
      <c r="A312">
        <v>2020</v>
      </c>
      <c r="B312" t="s">
        <v>57</v>
      </c>
      <c r="C312" t="s">
        <v>23</v>
      </c>
      <c r="D312" s="1">
        <v>36089</v>
      </c>
      <c r="E312" s="1">
        <v>365657</v>
      </c>
      <c r="F312" s="2">
        <v>72666</v>
      </c>
    </row>
    <row r="313" spans="1:6" x14ac:dyDescent="0.25">
      <c r="A313">
        <v>2020</v>
      </c>
      <c r="B313" t="s">
        <v>57</v>
      </c>
      <c r="C313" t="s">
        <v>24</v>
      </c>
      <c r="D313" s="1">
        <v>10331</v>
      </c>
      <c r="E313" s="1">
        <v>43549</v>
      </c>
      <c r="F313" s="2">
        <v>59785</v>
      </c>
    </row>
    <row r="314" spans="1:6" x14ac:dyDescent="0.25">
      <c r="A314">
        <v>2020</v>
      </c>
      <c r="B314" t="s">
        <v>57</v>
      </c>
      <c r="C314" t="s">
        <v>25</v>
      </c>
      <c r="D314" s="1">
        <v>11809</v>
      </c>
      <c r="E314" s="1">
        <v>117288</v>
      </c>
      <c r="F314" s="2">
        <v>65292</v>
      </c>
    </row>
    <row r="315" spans="1:6" x14ac:dyDescent="0.25">
      <c r="A315">
        <v>2020</v>
      </c>
      <c r="B315" t="s">
        <v>57</v>
      </c>
      <c r="C315" t="s">
        <v>26</v>
      </c>
      <c r="D315" s="1">
        <v>20046</v>
      </c>
      <c r="E315" s="1">
        <v>179092</v>
      </c>
      <c r="F315" s="2">
        <v>67081</v>
      </c>
    </row>
    <row r="316" spans="1:6" x14ac:dyDescent="0.25">
      <c r="A316">
        <v>2020</v>
      </c>
      <c r="B316" t="s">
        <v>57</v>
      </c>
      <c r="C316" t="s">
        <v>27</v>
      </c>
      <c r="D316" s="1">
        <v>13616</v>
      </c>
      <c r="E316" s="1">
        <v>81639</v>
      </c>
      <c r="F316" s="2">
        <v>88167</v>
      </c>
    </row>
    <row r="317" spans="1:6" x14ac:dyDescent="0.25">
      <c r="A317">
        <v>2020</v>
      </c>
      <c r="B317" t="s">
        <v>57</v>
      </c>
      <c r="C317" t="s">
        <v>28</v>
      </c>
      <c r="D317" s="1">
        <v>53304</v>
      </c>
      <c r="E317" s="1">
        <v>643507</v>
      </c>
      <c r="F317" s="2">
        <v>102666</v>
      </c>
    </row>
    <row r="318" spans="1:6" x14ac:dyDescent="0.25">
      <c r="A318">
        <v>2020</v>
      </c>
      <c r="B318" t="s">
        <v>57</v>
      </c>
      <c r="C318" t="s">
        <v>29</v>
      </c>
      <c r="D318" s="1">
        <v>11550</v>
      </c>
      <c r="E318" s="1">
        <v>107707</v>
      </c>
      <c r="F318" s="2">
        <v>69938</v>
      </c>
    </row>
    <row r="319" spans="1:6" x14ac:dyDescent="0.25">
      <c r="A319">
        <v>2020</v>
      </c>
      <c r="B319" t="s">
        <v>57</v>
      </c>
      <c r="C319" t="s">
        <v>30</v>
      </c>
      <c r="D319" s="1">
        <v>117347</v>
      </c>
      <c r="E319" s="1">
        <v>1242471</v>
      </c>
      <c r="F319" s="2">
        <v>109413</v>
      </c>
    </row>
    <row r="320" spans="1:6" x14ac:dyDescent="0.25">
      <c r="A320">
        <v>2020</v>
      </c>
      <c r="B320" t="s">
        <v>57</v>
      </c>
      <c r="C320" t="s">
        <v>31</v>
      </c>
      <c r="D320" s="1">
        <v>64843</v>
      </c>
      <c r="E320" s="1">
        <v>637719</v>
      </c>
      <c r="F320" s="2">
        <v>72078</v>
      </c>
    </row>
    <row r="321" spans="1:6" x14ac:dyDescent="0.25">
      <c r="A321">
        <v>2020</v>
      </c>
      <c r="B321" t="s">
        <v>57</v>
      </c>
      <c r="C321" t="s">
        <v>32</v>
      </c>
      <c r="D321" s="1">
        <v>5337</v>
      </c>
      <c r="E321" s="1">
        <v>31642</v>
      </c>
      <c r="F321" s="2">
        <v>65877</v>
      </c>
    </row>
    <row r="322" spans="1:6" x14ac:dyDescent="0.25">
      <c r="A322">
        <v>2020</v>
      </c>
      <c r="B322" t="s">
        <v>57</v>
      </c>
      <c r="C322" t="s">
        <v>33</v>
      </c>
      <c r="D322" s="1">
        <v>55987</v>
      </c>
      <c r="E322" s="1">
        <v>697244</v>
      </c>
      <c r="F322" s="2">
        <v>71920</v>
      </c>
    </row>
    <row r="323" spans="1:6" x14ac:dyDescent="0.25">
      <c r="A323">
        <v>2020</v>
      </c>
      <c r="B323" t="s">
        <v>57</v>
      </c>
      <c r="C323" t="s">
        <v>34</v>
      </c>
      <c r="D323" s="1">
        <v>21652</v>
      </c>
      <c r="E323" s="1">
        <v>185307</v>
      </c>
      <c r="F323" s="2">
        <v>58539</v>
      </c>
    </row>
    <row r="324" spans="1:6" x14ac:dyDescent="0.25">
      <c r="A324">
        <v>2020</v>
      </c>
      <c r="B324" t="s">
        <v>57</v>
      </c>
      <c r="C324" t="s">
        <v>35</v>
      </c>
      <c r="D324" s="1">
        <v>27033</v>
      </c>
      <c r="E324" s="1">
        <v>242218</v>
      </c>
      <c r="F324" s="2">
        <v>81224</v>
      </c>
    </row>
    <row r="325" spans="1:6" x14ac:dyDescent="0.25">
      <c r="A325">
        <v>2020</v>
      </c>
      <c r="B325" t="s">
        <v>57</v>
      </c>
      <c r="C325" t="s">
        <v>36</v>
      </c>
      <c r="D325" s="1">
        <v>66210</v>
      </c>
      <c r="E325" s="1">
        <v>766122</v>
      </c>
      <c r="F325" s="2">
        <v>86971</v>
      </c>
    </row>
    <row r="326" spans="1:6" x14ac:dyDescent="0.25">
      <c r="A326">
        <v>2020</v>
      </c>
      <c r="B326" t="s">
        <v>57</v>
      </c>
      <c r="C326" t="s">
        <v>37</v>
      </c>
      <c r="D326" s="1">
        <v>9567</v>
      </c>
      <c r="E326" s="1">
        <v>65232</v>
      </c>
      <c r="F326" s="2">
        <v>75829</v>
      </c>
    </row>
    <row r="327" spans="1:6" x14ac:dyDescent="0.25">
      <c r="A327">
        <v>2020</v>
      </c>
      <c r="B327" t="s">
        <v>57</v>
      </c>
      <c r="C327" t="s">
        <v>38</v>
      </c>
      <c r="D327" s="1">
        <v>30793</v>
      </c>
      <c r="E327" s="1">
        <v>281874</v>
      </c>
      <c r="F327" s="2">
        <v>56907</v>
      </c>
    </row>
    <row r="328" spans="1:6" x14ac:dyDescent="0.25">
      <c r="A328">
        <v>2020</v>
      </c>
      <c r="B328" t="s">
        <v>57</v>
      </c>
      <c r="C328" t="s">
        <v>39</v>
      </c>
      <c r="D328" s="1">
        <v>5876</v>
      </c>
      <c r="E328" s="1">
        <v>32771</v>
      </c>
      <c r="F328" s="2">
        <v>63709</v>
      </c>
    </row>
    <row r="329" spans="1:6" x14ac:dyDescent="0.25">
      <c r="A329">
        <v>2020</v>
      </c>
      <c r="B329" t="s">
        <v>57</v>
      </c>
      <c r="C329" t="s">
        <v>40</v>
      </c>
      <c r="D329" s="1">
        <v>32595</v>
      </c>
      <c r="E329" s="1">
        <v>414644</v>
      </c>
      <c r="F329" s="2">
        <v>66460</v>
      </c>
    </row>
    <row r="330" spans="1:6" x14ac:dyDescent="0.25">
      <c r="A330">
        <v>2020</v>
      </c>
      <c r="B330" t="s">
        <v>57</v>
      </c>
      <c r="C330" t="s">
        <v>41</v>
      </c>
      <c r="D330" s="1">
        <v>146639</v>
      </c>
      <c r="E330" s="1">
        <v>1758991</v>
      </c>
      <c r="F330" s="2">
        <v>81123</v>
      </c>
    </row>
    <row r="331" spans="1:6" x14ac:dyDescent="0.25">
      <c r="A331">
        <v>2020</v>
      </c>
      <c r="B331" t="s">
        <v>57</v>
      </c>
      <c r="C331" t="s">
        <v>42</v>
      </c>
      <c r="D331" s="1">
        <v>25941</v>
      </c>
      <c r="E331" s="1">
        <v>223284</v>
      </c>
      <c r="F331" s="2">
        <v>68355</v>
      </c>
    </row>
    <row r="332" spans="1:6" x14ac:dyDescent="0.25">
      <c r="A332">
        <v>2020</v>
      </c>
      <c r="B332" t="s">
        <v>57</v>
      </c>
      <c r="C332" t="s">
        <v>43</v>
      </c>
      <c r="D332" s="1">
        <v>6346</v>
      </c>
      <c r="E332" s="1">
        <v>28512</v>
      </c>
      <c r="F332" s="2">
        <v>74442</v>
      </c>
    </row>
    <row r="333" spans="1:6" x14ac:dyDescent="0.25">
      <c r="A333">
        <v>2020</v>
      </c>
      <c r="B333" t="s">
        <v>57</v>
      </c>
      <c r="C333" t="s">
        <v>44</v>
      </c>
      <c r="D333" s="1">
        <v>60099</v>
      </c>
      <c r="E333" s="1">
        <v>752090</v>
      </c>
      <c r="F333" s="2">
        <v>96046</v>
      </c>
    </row>
    <row r="334" spans="1:6" x14ac:dyDescent="0.25">
      <c r="A334">
        <v>2020</v>
      </c>
      <c r="B334" t="s">
        <v>57</v>
      </c>
      <c r="C334" t="s">
        <v>45</v>
      </c>
      <c r="D334" s="1">
        <v>43094</v>
      </c>
      <c r="E334" s="1">
        <v>415190</v>
      </c>
      <c r="F334" s="2">
        <v>92279</v>
      </c>
    </row>
    <row r="335" spans="1:6" x14ac:dyDescent="0.25">
      <c r="A335">
        <v>2020</v>
      </c>
      <c r="B335" t="s">
        <v>57</v>
      </c>
      <c r="C335" t="s">
        <v>46</v>
      </c>
      <c r="D335" s="1">
        <v>8599</v>
      </c>
      <c r="E335" s="1">
        <v>65715</v>
      </c>
      <c r="F335" s="2">
        <v>53557</v>
      </c>
    </row>
    <row r="336" spans="1:6" x14ac:dyDescent="0.25">
      <c r="A336">
        <v>2020</v>
      </c>
      <c r="B336" t="s">
        <v>57</v>
      </c>
      <c r="C336" t="s">
        <v>47</v>
      </c>
      <c r="D336" s="1">
        <v>27048</v>
      </c>
      <c r="E336" s="1">
        <v>309780</v>
      </c>
      <c r="F336" s="2">
        <v>67254</v>
      </c>
    </row>
    <row r="337" spans="1:6" x14ac:dyDescent="0.25">
      <c r="A337">
        <v>2020</v>
      </c>
      <c r="B337" t="s">
        <v>57</v>
      </c>
      <c r="C337" t="s">
        <v>48</v>
      </c>
      <c r="D337" s="1">
        <v>4986</v>
      </c>
      <c r="E337" s="1">
        <v>18382</v>
      </c>
      <c r="F337" s="2">
        <v>60233</v>
      </c>
    </row>
    <row r="338" spans="1:6" x14ac:dyDescent="0.25">
      <c r="A338">
        <v>2020</v>
      </c>
      <c r="B338" t="s">
        <v>58</v>
      </c>
      <c r="C338" t="s">
        <v>1</v>
      </c>
      <c r="D338" s="1">
        <v>15859</v>
      </c>
      <c r="E338" s="1">
        <v>228486</v>
      </c>
      <c r="F338" s="2">
        <v>51193</v>
      </c>
    </row>
    <row r="339" spans="1:6" x14ac:dyDescent="0.25">
      <c r="A339">
        <v>2020</v>
      </c>
      <c r="B339" t="s">
        <v>58</v>
      </c>
      <c r="C339" t="s">
        <v>2</v>
      </c>
      <c r="D339" s="1">
        <v>20727</v>
      </c>
      <c r="E339" s="1">
        <v>455356</v>
      </c>
      <c r="F339" s="2">
        <v>56159</v>
      </c>
    </row>
    <row r="340" spans="1:6" x14ac:dyDescent="0.25">
      <c r="A340">
        <v>2020</v>
      </c>
      <c r="B340" t="s">
        <v>58</v>
      </c>
      <c r="C340" t="s">
        <v>3</v>
      </c>
      <c r="D340" s="1">
        <v>15656</v>
      </c>
      <c r="E340" s="1">
        <v>181169</v>
      </c>
      <c r="F340" s="2">
        <v>47435</v>
      </c>
    </row>
    <row r="341" spans="1:6" x14ac:dyDescent="0.25">
      <c r="A341">
        <v>2020</v>
      </c>
      <c r="B341" t="s">
        <v>58</v>
      </c>
      <c r="C341" t="s">
        <v>4</v>
      </c>
      <c r="D341" s="1">
        <v>656765</v>
      </c>
      <c r="E341" s="1">
        <v>2651781</v>
      </c>
      <c r="F341" s="2">
        <v>57668</v>
      </c>
    </row>
    <row r="342" spans="1:6" x14ac:dyDescent="0.25">
      <c r="A342">
        <v>2020</v>
      </c>
      <c r="B342" t="s">
        <v>58</v>
      </c>
      <c r="C342" t="s">
        <v>5</v>
      </c>
      <c r="D342" s="1">
        <v>23475</v>
      </c>
      <c r="E342" s="1">
        <v>332209</v>
      </c>
      <c r="F342" s="2">
        <v>55198</v>
      </c>
    </row>
    <row r="343" spans="1:6" x14ac:dyDescent="0.25">
      <c r="A343">
        <v>2020</v>
      </c>
      <c r="B343" t="s">
        <v>58</v>
      </c>
      <c r="C343" t="s">
        <v>6</v>
      </c>
      <c r="D343" s="1">
        <v>19964</v>
      </c>
      <c r="E343" s="1">
        <v>319881</v>
      </c>
      <c r="F343" s="2">
        <v>61215</v>
      </c>
    </row>
    <row r="344" spans="1:6" x14ac:dyDescent="0.25">
      <c r="A344">
        <v>2020</v>
      </c>
      <c r="B344" t="s">
        <v>58</v>
      </c>
      <c r="C344" t="s">
        <v>7</v>
      </c>
      <c r="D344" s="1">
        <v>5522</v>
      </c>
      <c r="E344" s="1">
        <v>74184</v>
      </c>
      <c r="F344" s="2">
        <v>57470</v>
      </c>
    </row>
    <row r="345" spans="1:6" x14ac:dyDescent="0.25">
      <c r="A345">
        <v>2020</v>
      </c>
      <c r="B345" t="s">
        <v>58</v>
      </c>
      <c r="C345" t="s">
        <v>8</v>
      </c>
      <c r="D345" s="1">
        <v>85058</v>
      </c>
      <c r="E345" s="1">
        <v>1293582</v>
      </c>
      <c r="F345" s="2">
        <v>55114</v>
      </c>
    </row>
    <row r="346" spans="1:6" x14ac:dyDescent="0.25">
      <c r="A346">
        <v>2020</v>
      </c>
      <c r="B346" t="s">
        <v>58</v>
      </c>
      <c r="C346" t="s">
        <v>9</v>
      </c>
      <c r="D346" s="1">
        <v>31842</v>
      </c>
      <c r="E346" s="1">
        <v>561390</v>
      </c>
      <c r="F346" s="2">
        <v>57141</v>
      </c>
    </row>
    <row r="347" spans="1:6" x14ac:dyDescent="0.25">
      <c r="A347">
        <v>2020</v>
      </c>
      <c r="B347" t="s">
        <v>58</v>
      </c>
      <c r="C347" t="s">
        <v>10</v>
      </c>
      <c r="D347" s="1">
        <v>9128</v>
      </c>
      <c r="E347" s="1">
        <v>106752</v>
      </c>
      <c r="F347" s="2">
        <v>45479</v>
      </c>
    </row>
    <row r="348" spans="1:6" x14ac:dyDescent="0.25">
      <c r="A348">
        <v>2020</v>
      </c>
      <c r="B348" t="s">
        <v>58</v>
      </c>
      <c r="C348" t="s">
        <v>11</v>
      </c>
      <c r="D348" s="1">
        <v>39684</v>
      </c>
      <c r="E348" s="1">
        <v>882088</v>
      </c>
      <c r="F348" s="2">
        <v>55678</v>
      </c>
    </row>
    <row r="349" spans="1:6" x14ac:dyDescent="0.25">
      <c r="A349">
        <v>2020</v>
      </c>
      <c r="B349" t="s">
        <v>58</v>
      </c>
      <c r="C349" t="s">
        <v>12</v>
      </c>
      <c r="D349" s="1">
        <v>16899</v>
      </c>
      <c r="E349" s="1">
        <v>451743</v>
      </c>
      <c r="F349" s="2">
        <v>52802</v>
      </c>
    </row>
    <row r="350" spans="1:6" x14ac:dyDescent="0.25">
      <c r="A350">
        <v>2020</v>
      </c>
      <c r="B350" t="s">
        <v>58</v>
      </c>
      <c r="C350" t="s">
        <v>13</v>
      </c>
      <c r="D350" s="1">
        <v>13294</v>
      </c>
      <c r="E350" s="1">
        <v>209301</v>
      </c>
      <c r="F350" s="2">
        <v>47222</v>
      </c>
    </row>
    <row r="351" spans="1:6" x14ac:dyDescent="0.25">
      <c r="A351">
        <v>2020</v>
      </c>
      <c r="B351" t="s">
        <v>58</v>
      </c>
      <c r="C351" t="s">
        <v>14</v>
      </c>
      <c r="D351" s="1">
        <v>10330</v>
      </c>
      <c r="E351" s="1">
        <v>194569</v>
      </c>
      <c r="F351" s="2">
        <v>48486</v>
      </c>
    </row>
    <row r="352" spans="1:6" x14ac:dyDescent="0.25">
      <c r="A352">
        <v>2020</v>
      </c>
      <c r="B352" t="s">
        <v>58</v>
      </c>
      <c r="C352" t="s">
        <v>15</v>
      </c>
      <c r="D352" s="1">
        <v>20809</v>
      </c>
      <c r="E352" s="1">
        <v>263195</v>
      </c>
      <c r="F352" s="2">
        <v>52098</v>
      </c>
    </row>
    <row r="353" spans="1:6" x14ac:dyDescent="0.25">
      <c r="A353">
        <v>2020</v>
      </c>
      <c r="B353" t="s">
        <v>58</v>
      </c>
      <c r="C353" t="s">
        <v>16</v>
      </c>
      <c r="D353" s="1">
        <v>16834</v>
      </c>
      <c r="E353" s="1">
        <v>296324</v>
      </c>
      <c r="F353" s="2">
        <v>48222</v>
      </c>
    </row>
    <row r="354" spans="1:6" x14ac:dyDescent="0.25">
      <c r="A354">
        <v>2020</v>
      </c>
      <c r="B354" t="s">
        <v>58</v>
      </c>
      <c r="C354" t="s">
        <v>17</v>
      </c>
      <c r="D354" s="1">
        <v>5591</v>
      </c>
      <c r="E354" s="1">
        <v>115511</v>
      </c>
      <c r="F354" s="2">
        <v>53739</v>
      </c>
    </row>
    <row r="355" spans="1:6" x14ac:dyDescent="0.25">
      <c r="A355">
        <v>2020</v>
      </c>
      <c r="B355" t="s">
        <v>58</v>
      </c>
      <c r="C355" t="s">
        <v>18</v>
      </c>
      <c r="D355" s="1">
        <v>21505</v>
      </c>
      <c r="E355" s="1">
        <v>420463</v>
      </c>
      <c r="F355" s="2">
        <v>59854</v>
      </c>
    </row>
    <row r="356" spans="1:6" x14ac:dyDescent="0.25">
      <c r="A356">
        <v>2020</v>
      </c>
      <c r="B356" t="s">
        <v>58</v>
      </c>
      <c r="C356" t="s">
        <v>19</v>
      </c>
      <c r="D356" s="1">
        <v>71270</v>
      </c>
      <c r="E356" s="1">
        <v>742606</v>
      </c>
      <c r="F356" s="2">
        <v>64556</v>
      </c>
    </row>
    <row r="357" spans="1:6" x14ac:dyDescent="0.25">
      <c r="A357">
        <v>2020</v>
      </c>
      <c r="B357" t="s">
        <v>58</v>
      </c>
      <c r="C357" t="s">
        <v>20</v>
      </c>
      <c r="D357" s="1">
        <v>32965</v>
      </c>
      <c r="E357" s="1">
        <v>622119</v>
      </c>
      <c r="F357" s="2">
        <v>54163</v>
      </c>
    </row>
    <row r="358" spans="1:6" x14ac:dyDescent="0.25">
      <c r="A358">
        <v>2020</v>
      </c>
      <c r="B358" t="s">
        <v>58</v>
      </c>
      <c r="C358" t="s">
        <v>21</v>
      </c>
      <c r="D358" s="1">
        <v>22985</v>
      </c>
      <c r="E358" s="1">
        <v>513228</v>
      </c>
      <c r="F358" s="2">
        <v>55127</v>
      </c>
    </row>
    <row r="359" spans="1:6" x14ac:dyDescent="0.25">
      <c r="A359">
        <v>2020</v>
      </c>
      <c r="B359" t="s">
        <v>58</v>
      </c>
      <c r="C359" t="s">
        <v>22</v>
      </c>
      <c r="D359" s="1">
        <v>7693</v>
      </c>
      <c r="E359" s="1">
        <v>138876</v>
      </c>
      <c r="F359" s="2">
        <v>45670</v>
      </c>
    </row>
    <row r="360" spans="1:6" x14ac:dyDescent="0.25">
      <c r="A360">
        <v>2020</v>
      </c>
      <c r="B360" t="s">
        <v>58</v>
      </c>
      <c r="C360" t="s">
        <v>23</v>
      </c>
      <c r="D360" s="1">
        <v>56134</v>
      </c>
      <c r="E360" s="1">
        <v>448355</v>
      </c>
      <c r="F360" s="2">
        <v>50460</v>
      </c>
    </row>
    <row r="361" spans="1:6" x14ac:dyDescent="0.25">
      <c r="A361">
        <v>2020</v>
      </c>
      <c r="B361" t="s">
        <v>58</v>
      </c>
      <c r="C361" t="s">
        <v>24</v>
      </c>
      <c r="D361" s="1">
        <v>5112</v>
      </c>
      <c r="E361" s="1">
        <v>73374</v>
      </c>
      <c r="F361" s="2">
        <v>52612</v>
      </c>
    </row>
    <row r="362" spans="1:6" x14ac:dyDescent="0.25">
      <c r="A362">
        <v>2020</v>
      </c>
      <c r="B362" t="s">
        <v>58</v>
      </c>
      <c r="C362" t="s">
        <v>25</v>
      </c>
      <c r="D362" s="1">
        <v>10522</v>
      </c>
      <c r="E362" s="1">
        <v>135205</v>
      </c>
      <c r="F362" s="2">
        <v>51740</v>
      </c>
    </row>
    <row r="363" spans="1:6" x14ac:dyDescent="0.25">
      <c r="A363">
        <v>2020</v>
      </c>
      <c r="B363" t="s">
        <v>58</v>
      </c>
      <c r="C363" t="s">
        <v>26</v>
      </c>
      <c r="D363" s="1">
        <v>9126</v>
      </c>
      <c r="E363" s="1">
        <v>139696</v>
      </c>
      <c r="F363" s="2">
        <v>58047</v>
      </c>
    </row>
    <row r="364" spans="1:6" x14ac:dyDescent="0.25">
      <c r="A364">
        <v>2020</v>
      </c>
      <c r="B364" t="s">
        <v>58</v>
      </c>
      <c r="C364" t="s">
        <v>27</v>
      </c>
      <c r="D364" s="1">
        <v>4900</v>
      </c>
      <c r="E364" s="1">
        <v>108757</v>
      </c>
      <c r="F364" s="2">
        <v>63675</v>
      </c>
    </row>
    <row r="365" spans="1:6" x14ac:dyDescent="0.25">
      <c r="A365">
        <v>2020</v>
      </c>
      <c r="B365" t="s">
        <v>58</v>
      </c>
      <c r="C365" t="s">
        <v>28</v>
      </c>
      <c r="D365" s="1">
        <v>43568</v>
      </c>
      <c r="E365" s="1">
        <v>622420</v>
      </c>
      <c r="F365" s="2">
        <v>60044</v>
      </c>
    </row>
    <row r="366" spans="1:6" x14ac:dyDescent="0.25">
      <c r="A366">
        <v>2020</v>
      </c>
      <c r="B366" t="s">
        <v>58</v>
      </c>
      <c r="C366" t="s">
        <v>29</v>
      </c>
      <c r="D366" s="1">
        <v>11448</v>
      </c>
      <c r="E366" s="1">
        <v>126459</v>
      </c>
      <c r="F366" s="2">
        <v>45191</v>
      </c>
    </row>
    <row r="367" spans="1:6" x14ac:dyDescent="0.25">
      <c r="A367">
        <v>2020</v>
      </c>
      <c r="B367" t="s">
        <v>58</v>
      </c>
      <c r="C367" t="s">
        <v>30</v>
      </c>
      <c r="D367" s="1">
        <v>67893</v>
      </c>
      <c r="E367" s="1">
        <v>1872526</v>
      </c>
      <c r="F367" s="2">
        <v>58936</v>
      </c>
    </row>
    <row r="368" spans="1:6" x14ac:dyDescent="0.25">
      <c r="A368">
        <v>2020</v>
      </c>
      <c r="B368" t="s">
        <v>58</v>
      </c>
      <c r="C368" t="s">
        <v>31</v>
      </c>
      <c r="D368" s="1">
        <v>29514</v>
      </c>
      <c r="E368" s="1">
        <v>584896</v>
      </c>
      <c r="F368" s="2">
        <v>53252</v>
      </c>
    </row>
    <row r="369" spans="1:6" x14ac:dyDescent="0.25">
      <c r="A369">
        <v>2020</v>
      </c>
      <c r="B369" t="s">
        <v>58</v>
      </c>
      <c r="C369" t="s">
        <v>32</v>
      </c>
      <c r="D369" s="1">
        <v>2737</v>
      </c>
      <c r="E369" s="1">
        <v>64418</v>
      </c>
      <c r="F369" s="2">
        <v>55234</v>
      </c>
    </row>
    <row r="370" spans="1:6" x14ac:dyDescent="0.25">
      <c r="A370">
        <v>2020</v>
      </c>
      <c r="B370" t="s">
        <v>58</v>
      </c>
      <c r="C370" t="s">
        <v>33</v>
      </c>
      <c r="D370" s="1">
        <v>35930</v>
      </c>
      <c r="E370" s="1">
        <v>868191</v>
      </c>
      <c r="F370" s="2">
        <v>51366</v>
      </c>
    </row>
    <row r="371" spans="1:6" x14ac:dyDescent="0.25">
      <c r="A371">
        <v>2020</v>
      </c>
      <c r="B371" t="s">
        <v>58</v>
      </c>
      <c r="C371" t="s">
        <v>34</v>
      </c>
      <c r="D371" s="1">
        <v>13656</v>
      </c>
      <c r="E371" s="1">
        <v>209679</v>
      </c>
      <c r="F371" s="2">
        <v>49095</v>
      </c>
    </row>
    <row r="372" spans="1:6" x14ac:dyDescent="0.25">
      <c r="A372">
        <v>2020</v>
      </c>
      <c r="B372" t="s">
        <v>58</v>
      </c>
      <c r="C372" t="s">
        <v>35</v>
      </c>
      <c r="D372" s="1">
        <v>28106</v>
      </c>
      <c r="E372" s="1">
        <v>292631</v>
      </c>
      <c r="F372" s="2">
        <v>54216</v>
      </c>
    </row>
    <row r="373" spans="1:6" x14ac:dyDescent="0.25">
      <c r="A373">
        <v>2020</v>
      </c>
      <c r="B373" t="s">
        <v>58</v>
      </c>
      <c r="C373" t="s">
        <v>36</v>
      </c>
      <c r="D373" s="1">
        <v>57935</v>
      </c>
      <c r="E373" s="1">
        <v>1179840</v>
      </c>
      <c r="F373" s="2">
        <v>57087</v>
      </c>
    </row>
    <row r="374" spans="1:6" x14ac:dyDescent="0.25">
      <c r="A374">
        <v>2020</v>
      </c>
      <c r="B374" t="s">
        <v>58</v>
      </c>
      <c r="C374" t="s">
        <v>37</v>
      </c>
      <c r="D374" s="1">
        <v>4907</v>
      </c>
      <c r="E374" s="1">
        <v>95079</v>
      </c>
      <c r="F374" s="2">
        <v>54510</v>
      </c>
    </row>
    <row r="375" spans="1:6" x14ac:dyDescent="0.25">
      <c r="A375">
        <v>2020</v>
      </c>
      <c r="B375" t="s">
        <v>58</v>
      </c>
      <c r="C375" t="s">
        <v>38</v>
      </c>
      <c r="D375" s="1">
        <v>15612</v>
      </c>
      <c r="E375" s="1">
        <v>231072</v>
      </c>
      <c r="F375" s="2">
        <v>50055</v>
      </c>
    </row>
    <row r="376" spans="1:6" x14ac:dyDescent="0.25">
      <c r="A376">
        <v>2020</v>
      </c>
      <c r="B376" t="s">
        <v>58</v>
      </c>
      <c r="C376" t="s">
        <v>39</v>
      </c>
      <c r="D376" s="1">
        <v>2934</v>
      </c>
      <c r="E376" s="1">
        <v>68990</v>
      </c>
      <c r="F376" s="2">
        <v>57054</v>
      </c>
    </row>
    <row r="377" spans="1:6" x14ac:dyDescent="0.25">
      <c r="A377">
        <v>2020</v>
      </c>
      <c r="B377" t="s">
        <v>58</v>
      </c>
      <c r="C377" t="s">
        <v>40</v>
      </c>
      <c r="D377" s="1">
        <v>21213</v>
      </c>
      <c r="E377" s="1">
        <v>421097</v>
      </c>
      <c r="F377" s="2">
        <v>56401</v>
      </c>
    </row>
    <row r="378" spans="1:6" x14ac:dyDescent="0.25">
      <c r="A378">
        <v>2020</v>
      </c>
      <c r="B378" t="s">
        <v>58</v>
      </c>
      <c r="C378" t="s">
        <v>41</v>
      </c>
      <c r="D378" s="1">
        <v>98681</v>
      </c>
      <c r="E378" s="1">
        <v>1646144</v>
      </c>
      <c r="F378" s="2">
        <v>51856</v>
      </c>
    </row>
    <row r="379" spans="1:6" x14ac:dyDescent="0.25">
      <c r="A379">
        <v>2020</v>
      </c>
      <c r="B379" t="s">
        <v>58</v>
      </c>
      <c r="C379" t="s">
        <v>42</v>
      </c>
      <c r="D379" s="1">
        <v>13463</v>
      </c>
      <c r="E379" s="1">
        <v>193157</v>
      </c>
      <c r="F379" s="2">
        <v>48260</v>
      </c>
    </row>
    <row r="380" spans="1:6" x14ac:dyDescent="0.25">
      <c r="A380">
        <v>2020</v>
      </c>
      <c r="B380" t="s">
        <v>58</v>
      </c>
      <c r="C380" t="s">
        <v>43</v>
      </c>
      <c r="D380" s="1">
        <v>2516</v>
      </c>
      <c r="E380" s="1">
        <v>58443</v>
      </c>
      <c r="F380" s="2">
        <v>52779</v>
      </c>
    </row>
    <row r="381" spans="1:6" x14ac:dyDescent="0.25">
      <c r="A381">
        <v>2020</v>
      </c>
      <c r="B381" t="s">
        <v>58</v>
      </c>
      <c r="C381" t="s">
        <v>44</v>
      </c>
      <c r="D381" s="1">
        <v>49705</v>
      </c>
      <c r="E381" s="1">
        <v>492598</v>
      </c>
      <c r="F381" s="2">
        <v>54119</v>
      </c>
    </row>
    <row r="382" spans="1:6" x14ac:dyDescent="0.25">
      <c r="A382">
        <v>2020</v>
      </c>
      <c r="B382" t="s">
        <v>58</v>
      </c>
      <c r="C382" t="s">
        <v>45</v>
      </c>
      <c r="D382" s="1">
        <v>74944</v>
      </c>
      <c r="E382" s="1">
        <v>468495</v>
      </c>
      <c r="F382" s="2">
        <v>55544</v>
      </c>
    </row>
    <row r="383" spans="1:6" x14ac:dyDescent="0.25">
      <c r="A383">
        <v>2020</v>
      </c>
      <c r="B383" t="s">
        <v>58</v>
      </c>
      <c r="C383" t="s">
        <v>46</v>
      </c>
      <c r="D383" s="1">
        <v>8500</v>
      </c>
      <c r="E383" s="1">
        <v>124604</v>
      </c>
      <c r="F383" s="2">
        <v>50597</v>
      </c>
    </row>
    <row r="384" spans="1:6" x14ac:dyDescent="0.25">
      <c r="A384">
        <v>2020</v>
      </c>
      <c r="B384" t="s">
        <v>58</v>
      </c>
      <c r="C384" t="s">
        <v>47</v>
      </c>
      <c r="D384" s="1">
        <v>31125</v>
      </c>
      <c r="E384" s="1">
        <v>427152</v>
      </c>
      <c r="F384" s="2">
        <v>52993</v>
      </c>
    </row>
    <row r="385" spans="1:6" x14ac:dyDescent="0.25">
      <c r="A385">
        <v>2020</v>
      </c>
      <c r="B385" t="s">
        <v>58</v>
      </c>
      <c r="C385" t="s">
        <v>48</v>
      </c>
      <c r="D385" s="1">
        <v>3485</v>
      </c>
      <c r="E385" s="1">
        <v>26942</v>
      </c>
      <c r="F385" s="2">
        <v>46334</v>
      </c>
    </row>
    <row r="386" spans="1:6" x14ac:dyDescent="0.25">
      <c r="A386">
        <v>2020</v>
      </c>
      <c r="B386" t="s">
        <v>59</v>
      </c>
      <c r="C386" t="s">
        <v>1</v>
      </c>
      <c r="D386" s="1">
        <v>11221</v>
      </c>
      <c r="E386" s="1">
        <v>178057</v>
      </c>
      <c r="F386" s="2">
        <v>18554</v>
      </c>
    </row>
    <row r="387" spans="1:6" x14ac:dyDescent="0.25">
      <c r="A387">
        <v>2020</v>
      </c>
      <c r="B387" t="s">
        <v>59</v>
      </c>
      <c r="C387" t="s">
        <v>2</v>
      </c>
      <c r="D387" s="1">
        <v>14444</v>
      </c>
      <c r="E387" s="1">
        <v>274985</v>
      </c>
      <c r="F387" s="2">
        <v>26810</v>
      </c>
    </row>
    <row r="388" spans="1:6" x14ac:dyDescent="0.25">
      <c r="A388">
        <v>2020</v>
      </c>
      <c r="B388" t="s">
        <v>59</v>
      </c>
      <c r="C388" t="s">
        <v>3</v>
      </c>
      <c r="D388" s="1">
        <v>7458</v>
      </c>
      <c r="E388" s="1">
        <v>106295</v>
      </c>
      <c r="F388" s="2">
        <v>18414</v>
      </c>
    </row>
    <row r="389" spans="1:6" x14ac:dyDescent="0.25">
      <c r="A389">
        <v>2020</v>
      </c>
      <c r="B389" t="s">
        <v>59</v>
      </c>
      <c r="C389" t="s">
        <v>4</v>
      </c>
      <c r="D389" s="1">
        <v>117833</v>
      </c>
      <c r="E389" s="1">
        <v>1482600</v>
      </c>
      <c r="F389" s="2">
        <v>36090</v>
      </c>
    </row>
    <row r="390" spans="1:6" x14ac:dyDescent="0.25">
      <c r="A390">
        <v>2020</v>
      </c>
      <c r="B390" t="s">
        <v>59</v>
      </c>
      <c r="C390" t="s">
        <v>5</v>
      </c>
      <c r="D390" s="1">
        <v>17650</v>
      </c>
      <c r="E390" s="1">
        <v>271680</v>
      </c>
      <c r="F390" s="2">
        <v>28424</v>
      </c>
    </row>
    <row r="391" spans="1:6" x14ac:dyDescent="0.25">
      <c r="A391">
        <v>2020</v>
      </c>
      <c r="B391" t="s">
        <v>59</v>
      </c>
      <c r="C391" t="s">
        <v>6</v>
      </c>
      <c r="D391" s="1">
        <v>10916</v>
      </c>
      <c r="E391" s="1">
        <v>117365</v>
      </c>
      <c r="F391" s="2">
        <v>26295</v>
      </c>
    </row>
    <row r="392" spans="1:6" x14ac:dyDescent="0.25">
      <c r="A392">
        <v>2020</v>
      </c>
      <c r="B392" t="s">
        <v>59</v>
      </c>
      <c r="C392" t="s">
        <v>7</v>
      </c>
      <c r="D392" s="1">
        <v>2698</v>
      </c>
      <c r="E392" s="1">
        <v>41103</v>
      </c>
      <c r="F392" s="2">
        <v>22228</v>
      </c>
    </row>
    <row r="393" spans="1:6" x14ac:dyDescent="0.25">
      <c r="A393">
        <v>2020</v>
      </c>
      <c r="B393" t="s">
        <v>59</v>
      </c>
      <c r="C393" t="s">
        <v>8</v>
      </c>
      <c r="D393" s="1">
        <v>59645</v>
      </c>
      <c r="E393" s="1">
        <v>1007574</v>
      </c>
      <c r="F393" s="2">
        <v>27709</v>
      </c>
    </row>
    <row r="394" spans="1:6" x14ac:dyDescent="0.25">
      <c r="A394">
        <v>2020</v>
      </c>
      <c r="B394" t="s">
        <v>59</v>
      </c>
      <c r="C394" t="s">
        <v>9</v>
      </c>
      <c r="D394" s="1">
        <v>26741</v>
      </c>
      <c r="E394" s="1">
        <v>414059</v>
      </c>
      <c r="F394" s="2">
        <v>22009</v>
      </c>
    </row>
    <row r="395" spans="1:6" x14ac:dyDescent="0.25">
      <c r="A395">
        <v>2020</v>
      </c>
      <c r="B395" t="s">
        <v>59</v>
      </c>
      <c r="C395" t="s">
        <v>10</v>
      </c>
      <c r="D395" s="1">
        <v>5242</v>
      </c>
      <c r="E395" s="1">
        <v>74574</v>
      </c>
      <c r="F395" s="2">
        <v>18637</v>
      </c>
    </row>
    <row r="396" spans="1:6" x14ac:dyDescent="0.25">
      <c r="A396">
        <v>2020</v>
      </c>
      <c r="B396" t="s">
        <v>59</v>
      </c>
      <c r="C396" t="s">
        <v>11</v>
      </c>
      <c r="D396" s="1">
        <v>32842</v>
      </c>
      <c r="E396" s="1">
        <v>462216</v>
      </c>
      <c r="F396" s="2">
        <v>25054</v>
      </c>
    </row>
    <row r="397" spans="1:6" x14ac:dyDescent="0.25">
      <c r="A397">
        <v>2020</v>
      </c>
      <c r="B397" t="s">
        <v>59</v>
      </c>
      <c r="C397" t="s">
        <v>12</v>
      </c>
      <c r="D397" s="1">
        <v>16068</v>
      </c>
      <c r="E397" s="1">
        <v>263892</v>
      </c>
      <c r="F397" s="2">
        <v>20493</v>
      </c>
    </row>
    <row r="398" spans="1:6" x14ac:dyDescent="0.25">
      <c r="A398">
        <v>2020</v>
      </c>
      <c r="B398" t="s">
        <v>59</v>
      </c>
      <c r="C398" t="s">
        <v>13</v>
      </c>
      <c r="D398" s="1">
        <v>8734</v>
      </c>
      <c r="E398" s="1">
        <v>118383</v>
      </c>
      <c r="F398" s="2">
        <v>18002</v>
      </c>
    </row>
    <row r="399" spans="1:6" x14ac:dyDescent="0.25">
      <c r="A399">
        <v>2020</v>
      </c>
      <c r="B399" t="s">
        <v>59</v>
      </c>
      <c r="C399" t="s">
        <v>14</v>
      </c>
      <c r="D399" s="1">
        <v>6792</v>
      </c>
      <c r="E399" s="1">
        <v>110526</v>
      </c>
      <c r="F399" s="2">
        <v>18088</v>
      </c>
    </row>
    <row r="400" spans="1:6" x14ac:dyDescent="0.25">
      <c r="A400">
        <v>2020</v>
      </c>
      <c r="B400" t="s">
        <v>59</v>
      </c>
      <c r="C400" t="s">
        <v>15</v>
      </c>
      <c r="D400" s="1">
        <v>10331</v>
      </c>
      <c r="E400" s="1">
        <v>165335</v>
      </c>
      <c r="F400" s="2">
        <v>19522</v>
      </c>
    </row>
    <row r="401" spans="1:6" x14ac:dyDescent="0.25">
      <c r="A401">
        <v>2020</v>
      </c>
      <c r="B401" t="s">
        <v>59</v>
      </c>
      <c r="C401" t="s">
        <v>16</v>
      </c>
      <c r="D401" s="1">
        <v>13351</v>
      </c>
      <c r="E401" s="1">
        <v>188383</v>
      </c>
      <c r="F401" s="2">
        <v>22216</v>
      </c>
    </row>
    <row r="402" spans="1:6" x14ac:dyDescent="0.25">
      <c r="A402">
        <v>2020</v>
      </c>
      <c r="B402" t="s">
        <v>59</v>
      </c>
      <c r="C402" t="s">
        <v>17</v>
      </c>
      <c r="D402" s="1">
        <v>5172</v>
      </c>
      <c r="E402" s="1">
        <v>51781</v>
      </c>
      <c r="F402" s="2">
        <v>25112</v>
      </c>
    </row>
    <row r="403" spans="1:6" x14ac:dyDescent="0.25">
      <c r="A403">
        <v>2020</v>
      </c>
      <c r="B403" t="s">
        <v>59</v>
      </c>
      <c r="C403" t="s">
        <v>18</v>
      </c>
      <c r="D403" s="1">
        <v>14823</v>
      </c>
      <c r="E403" s="1">
        <v>210848</v>
      </c>
      <c r="F403" s="2">
        <v>26383</v>
      </c>
    </row>
    <row r="404" spans="1:6" x14ac:dyDescent="0.25">
      <c r="A404">
        <v>2020</v>
      </c>
      <c r="B404" t="s">
        <v>59</v>
      </c>
      <c r="C404" t="s">
        <v>19</v>
      </c>
      <c r="D404" s="1">
        <v>20158</v>
      </c>
      <c r="E404" s="1">
        <v>262049</v>
      </c>
      <c r="F404" s="2">
        <v>30457</v>
      </c>
    </row>
    <row r="405" spans="1:6" x14ac:dyDescent="0.25">
      <c r="A405">
        <v>2020</v>
      </c>
      <c r="B405" t="s">
        <v>59</v>
      </c>
      <c r="C405" t="s">
        <v>20</v>
      </c>
      <c r="D405" s="1">
        <v>23032</v>
      </c>
      <c r="E405" s="1">
        <v>323435</v>
      </c>
      <c r="F405" s="2">
        <v>22254</v>
      </c>
    </row>
    <row r="406" spans="1:6" x14ac:dyDescent="0.25">
      <c r="A406">
        <v>2020</v>
      </c>
      <c r="B406" t="s">
        <v>59</v>
      </c>
      <c r="C406" t="s">
        <v>21</v>
      </c>
      <c r="D406" s="1">
        <v>15355</v>
      </c>
      <c r="E406" s="1">
        <v>204519</v>
      </c>
      <c r="F406" s="2">
        <v>24167</v>
      </c>
    </row>
    <row r="407" spans="1:6" x14ac:dyDescent="0.25">
      <c r="A407">
        <v>2020</v>
      </c>
      <c r="B407" t="s">
        <v>59</v>
      </c>
      <c r="C407" t="s">
        <v>22</v>
      </c>
      <c r="D407" s="1">
        <v>6644</v>
      </c>
      <c r="E407" s="1">
        <v>118107</v>
      </c>
      <c r="F407" s="2">
        <v>18380</v>
      </c>
    </row>
    <row r="408" spans="1:6" x14ac:dyDescent="0.25">
      <c r="A408">
        <v>2020</v>
      </c>
      <c r="B408" t="s">
        <v>59</v>
      </c>
      <c r="C408" t="s">
        <v>23</v>
      </c>
      <c r="D408" s="1">
        <v>15398</v>
      </c>
      <c r="E408" s="1">
        <v>253244</v>
      </c>
      <c r="F408" s="2">
        <v>22154</v>
      </c>
    </row>
    <row r="409" spans="1:6" x14ac:dyDescent="0.25">
      <c r="A409">
        <v>2020</v>
      </c>
      <c r="B409" t="s">
        <v>59</v>
      </c>
      <c r="C409" t="s">
        <v>24</v>
      </c>
      <c r="D409" s="1">
        <v>5182</v>
      </c>
      <c r="E409" s="1">
        <v>58811</v>
      </c>
      <c r="F409" s="2">
        <v>21078</v>
      </c>
    </row>
    <row r="410" spans="1:6" x14ac:dyDescent="0.25">
      <c r="A410">
        <v>2020</v>
      </c>
      <c r="B410" t="s">
        <v>59</v>
      </c>
      <c r="C410" t="s">
        <v>25</v>
      </c>
      <c r="D410" s="1">
        <v>5552</v>
      </c>
      <c r="E410" s="1">
        <v>79529</v>
      </c>
      <c r="F410" s="2">
        <v>18131</v>
      </c>
    </row>
    <row r="411" spans="1:6" x14ac:dyDescent="0.25">
      <c r="A411">
        <v>2020</v>
      </c>
      <c r="B411" t="s">
        <v>59</v>
      </c>
      <c r="C411" t="s">
        <v>26</v>
      </c>
      <c r="D411" s="1">
        <v>8698</v>
      </c>
      <c r="E411" s="1">
        <v>255447</v>
      </c>
      <c r="F411" s="2">
        <v>34061</v>
      </c>
    </row>
    <row r="412" spans="1:6" x14ac:dyDescent="0.25">
      <c r="A412">
        <v>2020</v>
      </c>
      <c r="B412" t="s">
        <v>59</v>
      </c>
      <c r="C412" t="s">
        <v>27</v>
      </c>
      <c r="D412" s="1">
        <v>4677</v>
      </c>
      <c r="E412" s="1">
        <v>57132</v>
      </c>
      <c r="F412" s="2">
        <v>24729</v>
      </c>
    </row>
    <row r="413" spans="1:6" x14ac:dyDescent="0.25">
      <c r="A413">
        <v>2020</v>
      </c>
      <c r="B413" t="s">
        <v>59</v>
      </c>
      <c r="C413" t="s">
        <v>28</v>
      </c>
      <c r="D413" s="1">
        <v>24584</v>
      </c>
      <c r="E413" s="1">
        <v>281546</v>
      </c>
      <c r="F413" s="2">
        <v>28639</v>
      </c>
    </row>
    <row r="414" spans="1:6" x14ac:dyDescent="0.25">
      <c r="A414">
        <v>2020</v>
      </c>
      <c r="B414" t="s">
        <v>59</v>
      </c>
      <c r="C414" t="s">
        <v>29</v>
      </c>
      <c r="D414" s="1">
        <v>5276</v>
      </c>
      <c r="E414" s="1">
        <v>78539</v>
      </c>
      <c r="F414" s="2">
        <v>19988</v>
      </c>
    </row>
    <row r="415" spans="1:6" x14ac:dyDescent="0.25">
      <c r="A415">
        <v>2020</v>
      </c>
      <c r="B415" t="s">
        <v>59</v>
      </c>
      <c r="C415" t="s">
        <v>30</v>
      </c>
      <c r="D415" s="1">
        <v>64959</v>
      </c>
      <c r="E415" s="1">
        <v>632760</v>
      </c>
      <c r="F415" s="2">
        <v>36986</v>
      </c>
    </row>
    <row r="416" spans="1:6" x14ac:dyDescent="0.25">
      <c r="A416">
        <v>2020</v>
      </c>
      <c r="B416" t="s">
        <v>59</v>
      </c>
      <c r="C416" t="s">
        <v>31</v>
      </c>
      <c r="D416" s="1">
        <v>27015</v>
      </c>
      <c r="E416" s="1">
        <v>420420</v>
      </c>
      <c r="F416" s="2">
        <v>21462</v>
      </c>
    </row>
    <row r="417" spans="1:6" x14ac:dyDescent="0.25">
      <c r="A417">
        <v>2020</v>
      </c>
      <c r="B417" t="s">
        <v>59</v>
      </c>
      <c r="C417" t="s">
        <v>32</v>
      </c>
      <c r="D417" s="1">
        <v>2621</v>
      </c>
      <c r="E417" s="1">
        <v>34228</v>
      </c>
      <c r="F417" s="2">
        <v>19193</v>
      </c>
    </row>
    <row r="418" spans="1:6" x14ac:dyDescent="0.25">
      <c r="A418">
        <v>2020</v>
      </c>
      <c r="B418" t="s">
        <v>59</v>
      </c>
      <c r="C418" t="s">
        <v>33</v>
      </c>
      <c r="D418" s="1">
        <v>29197</v>
      </c>
      <c r="E418" s="1">
        <v>466069</v>
      </c>
      <c r="F418" s="2">
        <v>21027</v>
      </c>
    </row>
    <row r="419" spans="1:6" x14ac:dyDescent="0.25">
      <c r="A419">
        <v>2020</v>
      </c>
      <c r="B419" t="s">
        <v>59</v>
      </c>
      <c r="C419" t="s">
        <v>34</v>
      </c>
      <c r="D419" s="1">
        <v>9364</v>
      </c>
      <c r="E419" s="1">
        <v>156230</v>
      </c>
      <c r="F419" s="2">
        <v>19310</v>
      </c>
    </row>
    <row r="420" spans="1:6" x14ac:dyDescent="0.25">
      <c r="A420">
        <v>2020</v>
      </c>
      <c r="B420" t="s">
        <v>59</v>
      </c>
      <c r="C420" t="s">
        <v>35</v>
      </c>
      <c r="D420" s="1">
        <v>13993</v>
      </c>
      <c r="E420" s="1">
        <v>161570</v>
      </c>
      <c r="F420" s="2">
        <v>24338</v>
      </c>
    </row>
    <row r="421" spans="1:6" x14ac:dyDescent="0.25">
      <c r="A421">
        <v>2020</v>
      </c>
      <c r="B421" t="s">
        <v>59</v>
      </c>
      <c r="C421" t="s">
        <v>36</v>
      </c>
      <c r="D421" s="1">
        <v>33532</v>
      </c>
      <c r="E421" s="1">
        <v>424092</v>
      </c>
      <c r="F421" s="2">
        <v>22945</v>
      </c>
    </row>
    <row r="422" spans="1:6" x14ac:dyDescent="0.25">
      <c r="A422">
        <v>2020</v>
      </c>
      <c r="B422" t="s">
        <v>59</v>
      </c>
      <c r="C422" t="s">
        <v>37</v>
      </c>
      <c r="D422" s="1">
        <v>3890</v>
      </c>
      <c r="E422" s="1">
        <v>44621</v>
      </c>
      <c r="F422" s="2">
        <v>24733</v>
      </c>
    </row>
    <row r="423" spans="1:6" x14ac:dyDescent="0.25">
      <c r="A423">
        <v>2020</v>
      </c>
      <c r="B423" t="s">
        <v>59</v>
      </c>
      <c r="C423" t="s">
        <v>38</v>
      </c>
      <c r="D423" s="1">
        <v>13676</v>
      </c>
      <c r="E423" s="1">
        <v>226959</v>
      </c>
      <c r="F423" s="2">
        <v>19677</v>
      </c>
    </row>
    <row r="424" spans="1:6" x14ac:dyDescent="0.25">
      <c r="A424">
        <v>2020</v>
      </c>
      <c r="B424" t="s">
        <v>59</v>
      </c>
      <c r="C424" t="s">
        <v>39</v>
      </c>
      <c r="D424" s="1">
        <v>3184</v>
      </c>
      <c r="E424" s="1">
        <v>41000</v>
      </c>
      <c r="F424" s="2">
        <v>18829</v>
      </c>
    </row>
    <row r="425" spans="1:6" x14ac:dyDescent="0.25">
      <c r="A425">
        <v>2020</v>
      </c>
      <c r="B425" t="s">
        <v>59</v>
      </c>
      <c r="C425" t="s">
        <v>40</v>
      </c>
      <c r="D425" s="1">
        <v>17443</v>
      </c>
      <c r="E425" s="1">
        <v>293033</v>
      </c>
      <c r="F425" s="2">
        <v>23771</v>
      </c>
    </row>
    <row r="426" spans="1:6" x14ac:dyDescent="0.25">
      <c r="A426">
        <v>2020</v>
      </c>
      <c r="B426" t="s">
        <v>59</v>
      </c>
      <c r="C426" t="s">
        <v>41</v>
      </c>
      <c r="D426" s="1">
        <v>66777</v>
      </c>
      <c r="E426" s="1">
        <v>1178456</v>
      </c>
      <c r="F426" s="2">
        <v>23001</v>
      </c>
    </row>
    <row r="427" spans="1:6" x14ac:dyDescent="0.25">
      <c r="A427">
        <v>2020</v>
      </c>
      <c r="B427" t="s">
        <v>59</v>
      </c>
      <c r="C427" t="s">
        <v>42</v>
      </c>
      <c r="D427" s="1">
        <v>7766</v>
      </c>
      <c r="E427" s="1">
        <v>133375</v>
      </c>
      <c r="F427" s="2">
        <v>21580</v>
      </c>
    </row>
    <row r="428" spans="1:6" x14ac:dyDescent="0.25">
      <c r="A428">
        <v>2020</v>
      </c>
      <c r="B428" t="s">
        <v>59</v>
      </c>
      <c r="C428" t="s">
        <v>43</v>
      </c>
      <c r="D428" s="1">
        <v>2220</v>
      </c>
      <c r="E428" s="1">
        <v>25985</v>
      </c>
      <c r="F428" s="2">
        <v>26068</v>
      </c>
    </row>
    <row r="429" spans="1:6" x14ac:dyDescent="0.25">
      <c r="A429">
        <v>2020</v>
      </c>
      <c r="B429" t="s">
        <v>59</v>
      </c>
      <c r="C429" t="s">
        <v>44</v>
      </c>
      <c r="D429" s="1">
        <v>20954</v>
      </c>
      <c r="E429" s="1">
        <v>322216</v>
      </c>
      <c r="F429" s="2">
        <v>22634</v>
      </c>
    </row>
    <row r="430" spans="1:6" x14ac:dyDescent="0.25">
      <c r="A430">
        <v>2020</v>
      </c>
      <c r="B430" t="s">
        <v>59</v>
      </c>
      <c r="C430" t="s">
        <v>45</v>
      </c>
      <c r="D430" s="1">
        <v>20710</v>
      </c>
      <c r="E430" s="1">
        <v>255412</v>
      </c>
      <c r="F430" s="2">
        <v>26657</v>
      </c>
    </row>
    <row r="431" spans="1:6" x14ac:dyDescent="0.25">
      <c r="A431">
        <v>2020</v>
      </c>
      <c r="B431" t="s">
        <v>59</v>
      </c>
      <c r="C431" t="s">
        <v>46</v>
      </c>
      <c r="D431" s="1">
        <v>4602</v>
      </c>
      <c r="E431" s="1">
        <v>61253</v>
      </c>
      <c r="F431" s="2">
        <v>18945</v>
      </c>
    </row>
    <row r="432" spans="1:6" x14ac:dyDescent="0.25">
      <c r="A432">
        <v>2020</v>
      </c>
      <c r="B432" t="s">
        <v>59</v>
      </c>
      <c r="C432" t="s">
        <v>47</v>
      </c>
      <c r="D432" s="1">
        <v>16783</v>
      </c>
      <c r="E432" s="1">
        <v>227495</v>
      </c>
      <c r="F432" s="2">
        <v>19473</v>
      </c>
    </row>
    <row r="433" spans="1:6" x14ac:dyDescent="0.25">
      <c r="A433">
        <v>2020</v>
      </c>
      <c r="B433" t="s">
        <v>59</v>
      </c>
      <c r="C433" t="s">
        <v>48</v>
      </c>
      <c r="D433" s="1">
        <v>2418</v>
      </c>
      <c r="E433" s="1">
        <v>32312</v>
      </c>
      <c r="F433" s="2">
        <v>23041</v>
      </c>
    </row>
    <row r="434" spans="1:6" x14ac:dyDescent="0.25">
      <c r="A434">
        <v>2020</v>
      </c>
      <c r="B434" t="s">
        <v>60</v>
      </c>
      <c r="C434" t="s">
        <v>1</v>
      </c>
      <c r="D434" s="1">
        <v>9048</v>
      </c>
      <c r="E434" s="1">
        <v>42367</v>
      </c>
      <c r="F434" s="2">
        <v>41437</v>
      </c>
    </row>
    <row r="435" spans="1:6" x14ac:dyDescent="0.25">
      <c r="A435">
        <v>2020</v>
      </c>
      <c r="B435" t="s">
        <v>60</v>
      </c>
      <c r="C435" t="s">
        <v>2</v>
      </c>
      <c r="D435" s="1">
        <v>10878</v>
      </c>
      <c r="E435" s="1">
        <v>69183</v>
      </c>
      <c r="F435" s="2">
        <v>42482</v>
      </c>
    </row>
    <row r="436" spans="1:6" x14ac:dyDescent="0.25">
      <c r="A436">
        <v>2020</v>
      </c>
      <c r="B436" t="s">
        <v>60</v>
      </c>
      <c r="C436" t="s">
        <v>3</v>
      </c>
      <c r="D436" s="1">
        <v>5464</v>
      </c>
      <c r="E436" s="1">
        <v>23724</v>
      </c>
      <c r="F436" s="2">
        <v>38111</v>
      </c>
    </row>
    <row r="437" spans="1:6" x14ac:dyDescent="0.25">
      <c r="A437">
        <v>2020</v>
      </c>
      <c r="B437" t="s">
        <v>60</v>
      </c>
      <c r="C437" t="s">
        <v>4</v>
      </c>
      <c r="D437" s="1">
        <v>97116</v>
      </c>
      <c r="E437" s="1">
        <v>452175</v>
      </c>
      <c r="F437" s="2">
        <v>47080</v>
      </c>
    </row>
    <row r="438" spans="1:6" x14ac:dyDescent="0.25">
      <c r="A438">
        <v>2020</v>
      </c>
      <c r="B438" t="s">
        <v>60</v>
      </c>
      <c r="C438" t="s">
        <v>5</v>
      </c>
      <c r="D438" s="1">
        <v>16860</v>
      </c>
      <c r="E438" s="1">
        <v>76766</v>
      </c>
      <c r="F438" s="2">
        <v>45642</v>
      </c>
    </row>
    <row r="439" spans="1:6" x14ac:dyDescent="0.25">
      <c r="A439">
        <v>2020</v>
      </c>
      <c r="B439" t="s">
        <v>60</v>
      </c>
      <c r="C439" t="s">
        <v>6</v>
      </c>
      <c r="D439" s="1">
        <v>12480</v>
      </c>
      <c r="E439" s="1">
        <v>48120</v>
      </c>
      <c r="F439" s="2">
        <v>42136</v>
      </c>
    </row>
    <row r="440" spans="1:6" x14ac:dyDescent="0.25">
      <c r="A440">
        <v>2020</v>
      </c>
      <c r="B440" t="s">
        <v>60</v>
      </c>
      <c r="C440" t="s">
        <v>7</v>
      </c>
      <c r="D440" s="1">
        <v>2088</v>
      </c>
      <c r="E440" s="1">
        <v>10706</v>
      </c>
      <c r="F440" s="2">
        <v>38135</v>
      </c>
    </row>
    <row r="441" spans="1:6" x14ac:dyDescent="0.25">
      <c r="A441">
        <v>2020</v>
      </c>
      <c r="B441" t="s">
        <v>60</v>
      </c>
      <c r="C441" t="s">
        <v>8</v>
      </c>
      <c r="D441" s="1">
        <v>54871</v>
      </c>
      <c r="E441" s="1">
        <v>254577</v>
      </c>
      <c r="F441" s="2">
        <v>41154</v>
      </c>
    </row>
    <row r="442" spans="1:6" x14ac:dyDescent="0.25">
      <c r="A442">
        <v>2020</v>
      </c>
      <c r="B442" t="s">
        <v>60</v>
      </c>
      <c r="C442" t="s">
        <v>9</v>
      </c>
      <c r="D442" s="1">
        <v>19294</v>
      </c>
      <c r="E442" s="1">
        <v>101509</v>
      </c>
      <c r="F442" s="2">
        <v>41319</v>
      </c>
    </row>
    <row r="443" spans="1:6" x14ac:dyDescent="0.25">
      <c r="A443">
        <v>2020</v>
      </c>
      <c r="B443" t="s">
        <v>60</v>
      </c>
      <c r="C443" t="s">
        <v>10</v>
      </c>
      <c r="D443" s="1">
        <v>4119</v>
      </c>
      <c r="E443" s="1">
        <v>18237</v>
      </c>
      <c r="F443" s="2">
        <v>35029</v>
      </c>
    </row>
    <row r="444" spans="1:6" x14ac:dyDescent="0.25">
      <c r="A444">
        <v>2020</v>
      </c>
      <c r="B444" t="s">
        <v>60</v>
      </c>
      <c r="C444" t="s">
        <v>11</v>
      </c>
      <c r="D444" s="1">
        <v>35477</v>
      </c>
      <c r="E444" s="1">
        <v>184359</v>
      </c>
      <c r="F444" s="2">
        <v>48230</v>
      </c>
    </row>
    <row r="445" spans="1:6" x14ac:dyDescent="0.25">
      <c r="A445">
        <v>2020</v>
      </c>
      <c r="B445" t="s">
        <v>60</v>
      </c>
      <c r="C445" t="s">
        <v>12</v>
      </c>
      <c r="D445" s="1">
        <v>13233</v>
      </c>
      <c r="E445" s="1">
        <v>80627</v>
      </c>
      <c r="F445" s="2">
        <v>36636</v>
      </c>
    </row>
    <row r="446" spans="1:6" x14ac:dyDescent="0.25">
      <c r="A446">
        <v>2020</v>
      </c>
      <c r="B446" t="s">
        <v>60</v>
      </c>
      <c r="C446" t="s">
        <v>13</v>
      </c>
      <c r="D446" s="1">
        <v>7585</v>
      </c>
      <c r="E446" s="1">
        <v>37229</v>
      </c>
      <c r="F446" s="2">
        <v>40163</v>
      </c>
    </row>
    <row r="447" spans="1:6" x14ac:dyDescent="0.25">
      <c r="A447">
        <v>2020</v>
      </c>
      <c r="B447" t="s">
        <v>60</v>
      </c>
      <c r="C447" t="s">
        <v>14</v>
      </c>
      <c r="D447" s="1">
        <v>5873</v>
      </c>
      <c r="E447" s="1">
        <v>31183</v>
      </c>
      <c r="F447" s="2">
        <v>38965</v>
      </c>
    </row>
    <row r="448" spans="1:6" x14ac:dyDescent="0.25">
      <c r="A448">
        <v>2020</v>
      </c>
      <c r="B448" t="s">
        <v>60</v>
      </c>
      <c r="C448" t="s">
        <v>15</v>
      </c>
      <c r="D448" s="1">
        <v>9084</v>
      </c>
      <c r="E448" s="1">
        <v>40228</v>
      </c>
      <c r="F448" s="2">
        <v>38895</v>
      </c>
    </row>
    <row r="449" spans="1:6" x14ac:dyDescent="0.25">
      <c r="A449">
        <v>2020</v>
      </c>
      <c r="B449" t="s">
        <v>60</v>
      </c>
      <c r="C449" t="s">
        <v>16</v>
      </c>
      <c r="D449" s="1">
        <v>9437</v>
      </c>
      <c r="E449" s="1">
        <v>41500</v>
      </c>
      <c r="F449" s="2">
        <v>41226</v>
      </c>
    </row>
    <row r="450" spans="1:6" x14ac:dyDescent="0.25">
      <c r="A450">
        <v>2020</v>
      </c>
      <c r="B450" t="s">
        <v>60</v>
      </c>
      <c r="C450" t="s">
        <v>17</v>
      </c>
      <c r="D450" s="1">
        <v>3830</v>
      </c>
      <c r="E450" s="1">
        <v>16120</v>
      </c>
      <c r="F450" s="2">
        <v>39497</v>
      </c>
    </row>
    <row r="451" spans="1:6" x14ac:dyDescent="0.25">
      <c r="A451">
        <v>2020</v>
      </c>
      <c r="B451" t="s">
        <v>60</v>
      </c>
      <c r="C451" t="s">
        <v>18</v>
      </c>
      <c r="D451" s="1">
        <v>19028</v>
      </c>
      <c r="E451" s="1">
        <v>78236</v>
      </c>
      <c r="F451" s="2">
        <v>48238</v>
      </c>
    </row>
    <row r="452" spans="1:6" x14ac:dyDescent="0.25">
      <c r="A452">
        <v>2020</v>
      </c>
      <c r="B452" t="s">
        <v>60</v>
      </c>
      <c r="C452" t="s">
        <v>19</v>
      </c>
      <c r="D452" s="1">
        <v>21927</v>
      </c>
      <c r="E452" s="1">
        <v>98276</v>
      </c>
      <c r="F452" s="2">
        <v>46345</v>
      </c>
    </row>
    <row r="453" spans="1:6" x14ac:dyDescent="0.25">
      <c r="A453">
        <v>2020</v>
      </c>
      <c r="B453" t="s">
        <v>60</v>
      </c>
      <c r="C453" t="s">
        <v>20</v>
      </c>
      <c r="D453" s="1">
        <v>25486</v>
      </c>
      <c r="E453" s="1">
        <v>114074</v>
      </c>
      <c r="F453" s="2">
        <v>39650</v>
      </c>
    </row>
    <row r="454" spans="1:6" x14ac:dyDescent="0.25">
      <c r="A454">
        <v>2020</v>
      </c>
      <c r="B454" t="s">
        <v>60</v>
      </c>
      <c r="C454" t="s">
        <v>21</v>
      </c>
      <c r="D454" s="1">
        <v>17118</v>
      </c>
      <c r="E454" s="1">
        <v>77083</v>
      </c>
      <c r="F454" s="2">
        <v>39485</v>
      </c>
    </row>
    <row r="455" spans="1:6" x14ac:dyDescent="0.25">
      <c r="A455">
        <v>2020</v>
      </c>
      <c r="B455" t="s">
        <v>60</v>
      </c>
      <c r="C455" t="s">
        <v>22</v>
      </c>
      <c r="D455" s="1">
        <v>4625</v>
      </c>
      <c r="E455" s="1">
        <v>19993</v>
      </c>
      <c r="F455" s="2">
        <v>38520</v>
      </c>
    </row>
    <row r="456" spans="1:6" x14ac:dyDescent="0.25">
      <c r="A456">
        <v>2020</v>
      </c>
      <c r="B456" t="s">
        <v>60</v>
      </c>
      <c r="C456" t="s">
        <v>23</v>
      </c>
      <c r="D456" s="1">
        <v>13399</v>
      </c>
      <c r="E456" s="1">
        <v>68557</v>
      </c>
      <c r="F456" s="2">
        <v>38496</v>
      </c>
    </row>
    <row r="457" spans="1:6" x14ac:dyDescent="0.25">
      <c r="A457">
        <v>2020</v>
      </c>
      <c r="B457" t="s">
        <v>60</v>
      </c>
      <c r="C457" t="s">
        <v>24</v>
      </c>
      <c r="D457" s="1">
        <v>4199</v>
      </c>
      <c r="E457" s="1">
        <v>17236</v>
      </c>
      <c r="F457" s="2">
        <v>34349</v>
      </c>
    </row>
    <row r="458" spans="1:6" x14ac:dyDescent="0.25">
      <c r="A458">
        <v>2020</v>
      </c>
      <c r="B458" t="s">
        <v>60</v>
      </c>
      <c r="C458" t="s">
        <v>25</v>
      </c>
      <c r="D458" s="1">
        <v>4602</v>
      </c>
      <c r="E458" s="1">
        <v>24061</v>
      </c>
      <c r="F458" s="2">
        <v>36266</v>
      </c>
    </row>
    <row r="459" spans="1:6" x14ac:dyDescent="0.25">
      <c r="A459">
        <v>2020</v>
      </c>
      <c r="B459" t="s">
        <v>60</v>
      </c>
      <c r="C459" t="s">
        <v>26</v>
      </c>
      <c r="D459" s="1">
        <v>5067</v>
      </c>
      <c r="E459" s="1">
        <v>30593</v>
      </c>
      <c r="F459" s="2">
        <v>41698</v>
      </c>
    </row>
    <row r="460" spans="1:6" x14ac:dyDescent="0.25">
      <c r="A460">
        <v>2020</v>
      </c>
      <c r="B460" t="s">
        <v>60</v>
      </c>
      <c r="C460" t="s">
        <v>27</v>
      </c>
      <c r="D460" s="1">
        <v>4109</v>
      </c>
      <c r="E460" s="1">
        <v>18869</v>
      </c>
      <c r="F460" s="2">
        <v>43107</v>
      </c>
    </row>
    <row r="461" spans="1:6" x14ac:dyDescent="0.25">
      <c r="A461">
        <v>2020</v>
      </c>
      <c r="B461" t="s">
        <v>60</v>
      </c>
      <c r="C461" t="s">
        <v>28</v>
      </c>
      <c r="D461" s="1">
        <v>24307</v>
      </c>
      <c r="E461" s="1">
        <v>114130</v>
      </c>
      <c r="F461" s="2">
        <v>41197</v>
      </c>
    </row>
    <row r="462" spans="1:6" x14ac:dyDescent="0.25">
      <c r="A462">
        <v>2020</v>
      </c>
      <c r="B462" t="s">
        <v>60</v>
      </c>
      <c r="C462" t="s">
        <v>29</v>
      </c>
      <c r="D462" s="1">
        <v>4261</v>
      </c>
      <c r="E462" s="1">
        <v>18424</v>
      </c>
      <c r="F462" s="2">
        <v>38699</v>
      </c>
    </row>
    <row r="463" spans="1:6" x14ac:dyDescent="0.25">
      <c r="A463">
        <v>2020</v>
      </c>
      <c r="B463" t="s">
        <v>60</v>
      </c>
      <c r="C463" t="s">
        <v>30</v>
      </c>
      <c r="D463" s="1">
        <v>70935</v>
      </c>
      <c r="E463" s="1">
        <v>307026</v>
      </c>
      <c r="F463" s="2">
        <v>49001</v>
      </c>
    </row>
    <row r="464" spans="1:6" x14ac:dyDescent="0.25">
      <c r="A464">
        <v>2020</v>
      </c>
      <c r="B464" t="s">
        <v>60</v>
      </c>
      <c r="C464" t="s">
        <v>31</v>
      </c>
      <c r="D464" s="1">
        <v>26011</v>
      </c>
      <c r="E464" s="1">
        <v>107703</v>
      </c>
      <c r="F464" s="2">
        <v>39794</v>
      </c>
    </row>
    <row r="465" spans="1:6" x14ac:dyDescent="0.25">
      <c r="A465">
        <v>2020</v>
      </c>
      <c r="B465" t="s">
        <v>60</v>
      </c>
      <c r="C465" t="s">
        <v>32</v>
      </c>
      <c r="D465" s="1">
        <v>2141</v>
      </c>
      <c r="E465" s="1">
        <v>10645</v>
      </c>
      <c r="F465" s="2">
        <v>40484</v>
      </c>
    </row>
    <row r="466" spans="1:6" x14ac:dyDescent="0.25">
      <c r="A466">
        <v>2020</v>
      </c>
      <c r="B466" t="s">
        <v>60</v>
      </c>
      <c r="C466" t="s">
        <v>33</v>
      </c>
      <c r="D466" s="1">
        <v>23929</v>
      </c>
      <c r="E466" s="1">
        <v>138448</v>
      </c>
      <c r="F466" s="2">
        <v>38332</v>
      </c>
    </row>
    <row r="467" spans="1:6" x14ac:dyDescent="0.25">
      <c r="A467">
        <v>2020</v>
      </c>
      <c r="B467" t="s">
        <v>60</v>
      </c>
      <c r="C467" t="s">
        <v>34</v>
      </c>
      <c r="D467" s="1">
        <v>6600</v>
      </c>
      <c r="E467" s="1">
        <v>34047</v>
      </c>
      <c r="F467" s="2">
        <v>37686</v>
      </c>
    </row>
    <row r="468" spans="1:6" x14ac:dyDescent="0.25">
      <c r="A468">
        <v>2020</v>
      </c>
      <c r="B468" t="s">
        <v>60</v>
      </c>
      <c r="C468" t="s">
        <v>35</v>
      </c>
      <c r="D468" s="1">
        <v>14853</v>
      </c>
      <c r="E468" s="1">
        <v>60924</v>
      </c>
      <c r="F468" s="2">
        <v>41296</v>
      </c>
    </row>
    <row r="469" spans="1:6" x14ac:dyDescent="0.25">
      <c r="A469">
        <v>2020</v>
      </c>
      <c r="B469" t="s">
        <v>60</v>
      </c>
      <c r="C469" t="s">
        <v>36</v>
      </c>
      <c r="D469" s="1">
        <v>33590</v>
      </c>
      <c r="E469" s="1">
        <v>169772</v>
      </c>
      <c r="F469" s="2">
        <v>39396</v>
      </c>
    </row>
    <row r="470" spans="1:6" x14ac:dyDescent="0.25">
      <c r="A470">
        <v>2020</v>
      </c>
      <c r="B470" t="s">
        <v>60</v>
      </c>
      <c r="C470" t="s">
        <v>37</v>
      </c>
      <c r="D470" s="1">
        <v>3576</v>
      </c>
      <c r="E470" s="1">
        <v>15156</v>
      </c>
      <c r="F470" s="2">
        <v>38763</v>
      </c>
    </row>
    <row r="471" spans="1:6" x14ac:dyDescent="0.25">
      <c r="A471">
        <v>2020</v>
      </c>
      <c r="B471" t="s">
        <v>60</v>
      </c>
      <c r="C471" t="s">
        <v>38</v>
      </c>
      <c r="D471" s="1">
        <v>10267</v>
      </c>
      <c r="E471" s="1">
        <v>49710</v>
      </c>
      <c r="F471" s="2">
        <v>38110</v>
      </c>
    </row>
    <row r="472" spans="1:6" x14ac:dyDescent="0.25">
      <c r="A472">
        <v>2020</v>
      </c>
      <c r="B472" t="s">
        <v>60</v>
      </c>
      <c r="C472" t="s">
        <v>39</v>
      </c>
      <c r="D472" s="1">
        <v>2313</v>
      </c>
      <c r="E472" s="1">
        <v>11077</v>
      </c>
      <c r="F472" s="2">
        <v>38165</v>
      </c>
    </row>
    <row r="473" spans="1:6" x14ac:dyDescent="0.25">
      <c r="A473">
        <v>2020</v>
      </c>
      <c r="B473" t="s">
        <v>60</v>
      </c>
      <c r="C473" t="s">
        <v>40</v>
      </c>
      <c r="D473" s="1">
        <v>12651</v>
      </c>
      <c r="E473" s="1">
        <v>70977</v>
      </c>
      <c r="F473" s="2">
        <v>40323</v>
      </c>
    </row>
    <row r="474" spans="1:6" x14ac:dyDescent="0.25">
      <c r="A474">
        <v>2020</v>
      </c>
      <c r="B474" t="s">
        <v>60</v>
      </c>
      <c r="C474" t="s">
        <v>41</v>
      </c>
      <c r="D474" s="1">
        <v>57936</v>
      </c>
      <c r="E474" s="1">
        <v>310244</v>
      </c>
      <c r="F474" s="2">
        <v>44055</v>
      </c>
    </row>
    <row r="475" spans="1:6" x14ac:dyDescent="0.25">
      <c r="A475">
        <v>2020</v>
      </c>
      <c r="B475" t="s">
        <v>60</v>
      </c>
      <c r="C475" t="s">
        <v>42</v>
      </c>
      <c r="D475" s="1">
        <v>6849</v>
      </c>
      <c r="E475" s="1">
        <v>35002</v>
      </c>
      <c r="F475" s="2">
        <v>39528</v>
      </c>
    </row>
    <row r="476" spans="1:6" x14ac:dyDescent="0.25">
      <c r="A476">
        <v>2020</v>
      </c>
      <c r="B476" t="s">
        <v>60</v>
      </c>
      <c r="C476" t="s">
        <v>43</v>
      </c>
      <c r="D476" s="1">
        <v>1995</v>
      </c>
      <c r="E476" s="1">
        <v>7681</v>
      </c>
      <c r="F476" s="2">
        <v>41304</v>
      </c>
    </row>
    <row r="477" spans="1:6" x14ac:dyDescent="0.25">
      <c r="A477">
        <v>2020</v>
      </c>
      <c r="B477" t="s">
        <v>60</v>
      </c>
      <c r="C477" t="s">
        <v>44</v>
      </c>
      <c r="D477" s="1">
        <v>29516</v>
      </c>
      <c r="E477" s="1">
        <v>121622</v>
      </c>
      <c r="F477" s="2">
        <v>50744</v>
      </c>
    </row>
    <row r="478" spans="1:6" x14ac:dyDescent="0.25">
      <c r="A478">
        <v>2020</v>
      </c>
      <c r="B478" t="s">
        <v>60</v>
      </c>
      <c r="C478" t="s">
        <v>45</v>
      </c>
      <c r="D478" s="1">
        <v>20259</v>
      </c>
      <c r="E478" s="1">
        <v>89105</v>
      </c>
      <c r="F478" s="2">
        <v>46691</v>
      </c>
    </row>
    <row r="479" spans="1:6" x14ac:dyDescent="0.25">
      <c r="A479">
        <v>2020</v>
      </c>
      <c r="B479" t="s">
        <v>60</v>
      </c>
      <c r="C479" t="s">
        <v>46</v>
      </c>
      <c r="D479" s="1">
        <v>3442</v>
      </c>
      <c r="E479" s="1">
        <v>15621</v>
      </c>
      <c r="F479" s="2">
        <v>35759</v>
      </c>
    </row>
    <row r="480" spans="1:6" x14ac:dyDescent="0.25">
      <c r="A480">
        <v>2020</v>
      </c>
      <c r="B480" t="s">
        <v>60</v>
      </c>
      <c r="C480" t="s">
        <v>47</v>
      </c>
      <c r="D480" s="1">
        <v>13143</v>
      </c>
      <c r="E480" s="1">
        <v>74028</v>
      </c>
      <c r="F480" s="2">
        <v>36058</v>
      </c>
    </row>
    <row r="481" spans="1:6" x14ac:dyDescent="0.25">
      <c r="A481">
        <v>2020</v>
      </c>
      <c r="B481" t="s">
        <v>60</v>
      </c>
      <c r="C481" t="s">
        <v>48</v>
      </c>
      <c r="D481" s="1">
        <v>1669</v>
      </c>
      <c r="E481" s="1">
        <v>6769</v>
      </c>
      <c r="F481" s="2">
        <v>40253</v>
      </c>
    </row>
    <row r="482" spans="1:6" x14ac:dyDescent="0.25">
      <c r="A482">
        <v>2019</v>
      </c>
      <c r="B482" t="s">
        <v>55</v>
      </c>
      <c r="C482" t="s">
        <v>1</v>
      </c>
      <c r="D482" s="1">
        <v>1846</v>
      </c>
      <c r="E482" s="1">
        <v>18939</v>
      </c>
      <c r="F482" s="2">
        <v>56529</v>
      </c>
    </row>
    <row r="483" spans="1:6" x14ac:dyDescent="0.25">
      <c r="A483">
        <v>2019</v>
      </c>
      <c r="B483" t="s">
        <v>55</v>
      </c>
      <c r="C483" t="s">
        <v>2</v>
      </c>
      <c r="D483" s="1">
        <v>1358</v>
      </c>
      <c r="E483" s="1">
        <v>37970</v>
      </c>
      <c r="F483" s="2">
        <v>52262</v>
      </c>
    </row>
    <row r="484" spans="1:6" x14ac:dyDescent="0.25">
      <c r="A484">
        <v>2019</v>
      </c>
      <c r="B484" t="s">
        <v>55</v>
      </c>
      <c r="C484" t="s">
        <v>3</v>
      </c>
      <c r="D484" s="1">
        <v>2577</v>
      </c>
      <c r="E484" s="1">
        <v>16390</v>
      </c>
      <c r="F484" s="2">
        <v>48299</v>
      </c>
    </row>
    <row r="485" spans="1:6" x14ac:dyDescent="0.25">
      <c r="A485">
        <v>2019</v>
      </c>
      <c r="B485" t="s">
        <v>55</v>
      </c>
      <c r="C485" t="s">
        <v>4</v>
      </c>
      <c r="D485" s="1">
        <v>17663</v>
      </c>
      <c r="E485" s="1">
        <v>443581</v>
      </c>
      <c r="F485" s="2">
        <v>40246</v>
      </c>
    </row>
    <row r="486" spans="1:6" x14ac:dyDescent="0.25">
      <c r="A486">
        <v>2019</v>
      </c>
      <c r="B486" t="s">
        <v>55</v>
      </c>
      <c r="C486" t="s">
        <v>5</v>
      </c>
      <c r="D486" s="1">
        <v>3279</v>
      </c>
      <c r="E486" s="1">
        <v>48392</v>
      </c>
      <c r="F486" s="2">
        <v>90328</v>
      </c>
    </row>
    <row r="487" spans="1:6" x14ac:dyDescent="0.25">
      <c r="A487">
        <v>2019</v>
      </c>
      <c r="B487" t="s">
        <v>55</v>
      </c>
      <c r="C487" t="s">
        <v>6</v>
      </c>
      <c r="D487">
        <v>437</v>
      </c>
      <c r="E487" s="1">
        <v>5258</v>
      </c>
      <c r="F487" s="2">
        <v>41449</v>
      </c>
    </row>
    <row r="488" spans="1:6" x14ac:dyDescent="0.25">
      <c r="A488">
        <v>2019</v>
      </c>
      <c r="B488" t="s">
        <v>55</v>
      </c>
      <c r="C488" t="s">
        <v>7</v>
      </c>
      <c r="D488">
        <v>180</v>
      </c>
      <c r="E488" s="1">
        <v>1471</v>
      </c>
      <c r="F488" s="2">
        <v>42123</v>
      </c>
    </row>
    <row r="489" spans="1:6" x14ac:dyDescent="0.25">
      <c r="A489">
        <v>2019</v>
      </c>
      <c r="B489" t="s">
        <v>55</v>
      </c>
      <c r="C489" t="s">
        <v>8</v>
      </c>
      <c r="D489" s="1">
        <v>5304</v>
      </c>
      <c r="E489" s="1">
        <v>71329</v>
      </c>
      <c r="F489" s="2">
        <v>35645</v>
      </c>
    </row>
    <row r="490" spans="1:6" x14ac:dyDescent="0.25">
      <c r="A490">
        <v>2019</v>
      </c>
      <c r="B490" t="s">
        <v>55</v>
      </c>
      <c r="C490" t="s">
        <v>9</v>
      </c>
      <c r="D490" s="1">
        <v>2662</v>
      </c>
      <c r="E490" s="1">
        <v>29910</v>
      </c>
      <c r="F490" s="2">
        <v>43258</v>
      </c>
    </row>
    <row r="491" spans="1:6" x14ac:dyDescent="0.25">
      <c r="A491">
        <v>2019</v>
      </c>
      <c r="B491" t="s">
        <v>55</v>
      </c>
      <c r="C491" t="s">
        <v>10</v>
      </c>
      <c r="D491" s="1">
        <v>2401</v>
      </c>
      <c r="E491" s="1">
        <v>26555</v>
      </c>
      <c r="F491" s="2">
        <v>41105</v>
      </c>
    </row>
    <row r="492" spans="1:6" x14ac:dyDescent="0.25">
      <c r="A492">
        <v>2019</v>
      </c>
      <c r="B492" t="s">
        <v>55</v>
      </c>
      <c r="C492" t="s">
        <v>11</v>
      </c>
      <c r="D492" s="1">
        <v>2825</v>
      </c>
      <c r="E492" s="1">
        <v>26828</v>
      </c>
      <c r="F492" s="2">
        <v>52197</v>
      </c>
    </row>
    <row r="493" spans="1:6" x14ac:dyDescent="0.25">
      <c r="A493">
        <v>2019</v>
      </c>
      <c r="B493" t="s">
        <v>55</v>
      </c>
      <c r="C493" t="s">
        <v>12</v>
      </c>
      <c r="D493" s="1">
        <v>2255</v>
      </c>
      <c r="E493" s="1">
        <v>21475</v>
      </c>
      <c r="F493" s="2">
        <v>50243</v>
      </c>
    </row>
    <row r="494" spans="1:6" x14ac:dyDescent="0.25">
      <c r="A494">
        <v>2019</v>
      </c>
      <c r="B494" t="s">
        <v>55</v>
      </c>
      <c r="C494" t="s">
        <v>13</v>
      </c>
      <c r="D494" s="1">
        <v>2916</v>
      </c>
      <c r="E494" s="1">
        <v>23431</v>
      </c>
      <c r="F494" s="2">
        <v>44087</v>
      </c>
    </row>
    <row r="495" spans="1:6" x14ac:dyDescent="0.25">
      <c r="A495">
        <v>2019</v>
      </c>
      <c r="B495" t="s">
        <v>55</v>
      </c>
      <c r="C495" t="s">
        <v>14</v>
      </c>
      <c r="D495" s="1">
        <v>2612</v>
      </c>
      <c r="E495" s="1">
        <v>19353</v>
      </c>
      <c r="F495" s="2">
        <v>47802</v>
      </c>
    </row>
    <row r="496" spans="1:6" x14ac:dyDescent="0.25">
      <c r="A496">
        <v>2019</v>
      </c>
      <c r="B496" t="s">
        <v>55</v>
      </c>
      <c r="C496" t="s">
        <v>15</v>
      </c>
      <c r="D496" s="1">
        <v>1561</v>
      </c>
      <c r="E496" s="1">
        <v>18911</v>
      </c>
      <c r="F496" s="2">
        <v>56448</v>
      </c>
    </row>
    <row r="497" spans="1:6" x14ac:dyDescent="0.25">
      <c r="A497">
        <v>2019</v>
      </c>
      <c r="B497" t="s">
        <v>55</v>
      </c>
      <c r="C497" t="s">
        <v>16</v>
      </c>
      <c r="D497" s="1">
        <v>3133</v>
      </c>
      <c r="E497" s="1">
        <v>44052</v>
      </c>
      <c r="F497" s="2">
        <v>87820</v>
      </c>
    </row>
    <row r="498" spans="1:6" x14ac:dyDescent="0.25">
      <c r="A498">
        <v>2019</v>
      </c>
      <c r="B498" t="s">
        <v>55</v>
      </c>
      <c r="C498" t="s">
        <v>17</v>
      </c>
      <c r="D498" s="1">
        <v>1447</v>
      </c>
      <c r="E498" s="1">
        <v>7281</v>
      </c>
      <c r="F498" s="2">
        <v>41157</v>
      </c>
    </row>
    <row r="499" spans="1:6" x14ac:dyDescent="0.25">
      <c r="A499">
        <v>2019</v>
      </c>
      <c r="B499" t="s">
        <v>55</v>
      </c>
      <c r="C499" t="s">
        <v>18</v>
      </c>
      <c r="D499">
        <v>723</v>
      </c>
      <c r="E499" s="1">
        <v>7194</v>
      </c>
      <c r="F499" s="2">
        <v>44642</v>
      </c>
    </row>
    <row r="500" spans="1:6" x14ac:dyDescent="0.25">
      <c r="A500">
        <v>2019</v>
      </c>
      <c r="B500" t="s">
        <v>55</v>
      </c>
      <c r="C500" t="s">
        <v>19</v>
      </c>
      <c r="D500" s="1">
        <v>1007</v>
      </c>
      <c r="E500" s="1">
        <v>10500</v>
      </c>
      <c r="F500" s="2">
        <v>63846</v>
      </c>
    </row>
    <row r="501" spans="1:6" x14ac:dyDescent="0.25">
      <c r="A501">
        <v>2019</v>
      </c>
      <c r="B501" t="s">
        <v>55</v>
      </c>
      <c r="C501" t="s">
        <v>20</v>
      </c>
      <c r="D501" s="1">
        <v>3480</v>
      </c>
      <c r="E501" s="1">
        <v>35622</v>
      </c>
      <c r="F501" s="2">
        <v>41799</v>
      </c>
    </row>
    <row r="502" spans="1:6" x14ac:dyDescent="0.25">
      <c r="A502">
        <v>2019</v>
      </c>
      <c r="B502" t="s">
        <v>55</v>
      </c>
      <c r="C502" t="s">
        <v>21</v>
      </c>
      <c r="D502" s="1">
        <v>3094</v>
      </c>
      <c r="E502" s="1">
        <v>28134</v>
      </c>
      <c r="F502" s="2">
        <v>51107</v>
      </c>
    </row>
    <row r="503" spans="1:6" x14ac:dyDescent="0.25">
      <c r="A503">
        <v>2019</v>
      </c>
      <c r="B503" t="s">
        <v>55</v>
      </c>
      <c r="C503" t="s">
        <v>22</v>
      </c>
      <c r="D503" s="1">
        <v>2110</v>
      </c>
      <c r="E503" s="1">
        <v>15777</v>
      </c>
      <c r="F503" s="2">
        <v>49263</v>
      </c>
    </row>
    <row r="504" spans="1:6" x14ac:dyDescent="0.25">
      <c r="A504">
        <v>2019</v>
      </c>
      <c r="B504" t="s">
        <v>55</v>
      </c>
      <c r="C504" t="s">
        <v>23</v>
      </c>
      <c r="D504" s="1">
        <v>2031</v>
      </c>
      <c r="E504" s="1">
        <v>16899</v>
      </c>
      <c r="F504" s="2">
        <v>44815</v>
      </c>
    </row>
    <row r="505" spans="1:6" x14ac:dyDescent="0.25">
      <c r="A505">
        <v>2019</v>
      </c>
      <c r="B505" t="s">
        <v>55</v>
      </c>
      <c r="C505" t="s">
        <v>24</v>
      </c>
      <c r="D505" s="1">
        <v>1789</v>
      </c>
      <c r="E505" s="1">
        <v>12792</v>
      </c>
      <c r="F505" s="2">
        <v>67162</v>
      </c>
    </row>
    <row r="506" spans="1:6" x14ac:dyDescent="0.25">
      <c r="A506">
        <v>2019</v>
      </c>
      <c r="B506" t="s">
        <v>55</v>
      </c>
      <c r="C506" t="s">
        <v>25</v>
      </c>
      <c r="D506" s="1">
        <v>2414</v>
      </c>
      <c r="E506" s="1">
        <v>15761</v>
      </c>
      <c r="F506" s="2">
        <v>42685</v>
      </c>
    </row>
    <row r="507" spans="1:6" x14ac:dyDescent="0.25">
      <c r="A507">
        <v>2019</v>
      </c>
      <c r="B507" t="s">
        <v>55</v>
      </c>
      <c r="C507" t="s">
        <v>26</v>
      </c>
      <c r="D507">
        <v>618</v>
      </c>
      <c r="E507" s="1">
        <v>19841</v>
      </c>
      <c r="F507" s="2">
        <v>86362</v>
      </c>
    </row>
    <row r="508" spans="1:6" x14ac:dyDescent="0.25">
      <c r="A508">
        <v>2019</v>
      </c>
      <c r="B508" t="s">
        <v>55</v>
      </c>
      <c r="C508" t="s">
        <v>27</v>
      </c>
      <c r="D508">
        <v>350</v>
      </c>
      <c r="E508" s="1">
        <v>2627</v>
      </c>
      <c r="F508" s="2">
        <v>44073</v>
      </c>
    </row>
    <row r="509" spans="1:6" x14ac:dyDescent="0.25">
      <c r="A509">
        <v>2019</v>
      </c>
      <c r="B509" t="s">
        <v>55</v>
      </c>
      <c r="C509" t="s">
        <v>28</v>
      </c>
      <c r="D509">
        <v>998</v>
      </c>
      <c r="E509" s="1">
        <v>12407</v>
      </c>
      <c r="F509" s="2">
        <v>41732</v>
      </c>
    </row>
    <row r="510" spans="1:6" x14ac:dyDescent="0.25">
      <c r="A510">
        <v>2019</v>
      </c>
      <c r="B510" t="s">
        <v>55</v>
      </c>
      <c r="C510" t="s">
        <v>29</v>
      </c>
      <c r="D510" s="1">
        <v>2100</v>
      </c>
      <c r="E510" s="1">
        <v>36949</v>
      </c>
      <c r="F510" s="2">
        <v>68427</v>
      </c>
    </row>
    <row r="511" spans="1:6" x14ac:dyDescent="0.25">
      <c r="A511">
        <v>2019</v>
      </c>
      <c r="B511" t="s">
        <v>55</v>
      </c>
      <c r="C511" t="s">
        <v>30</v>
      </c>
      <c r="D511" s="1">
        <v>3053</v>
      </c>
      <c r="E511" s="1">
        <v>31787</v>
      </c>
      <c r="F511" s="2">
        <v>42992</v>
      </c>
    </row>
    <row r="512" spans="1:6" x14ac:dyDescent="0.25">
      <c r="A512">
        <v>2019</v>
      </c>
      <c r="B512" t="s">
        <v>55</v>
      </c>
      <c r="C512" t="s">
        <v>31</v>
      </c>
      <c r="D512" s="1">
        <v>3378</v>
      </c>
      <c r="E512" s="1">
        <v>29828</v>
      </c>
      <c r="F512" s="2">
        <v>40862</v>
      </c>
    </row>
    <row r="513" spans="1:6" x14ac:dyDescent="0.25">
      <c r="A513">
        <v>2019</v>
      </c>
      <c r="B513" t="s">
        <v>55</v>
      </c>
      <c r="C513" t="s">
        <v>32</v>
      </c>
      <c r="D513" s="1">
        <v>1784</v>
      </c>
      <c r="E513" s="1">
        <v>25973</v>
      </c>
      <c r="F513" s="2">
        <v>97355</v>
      </c>
    </row>
    <row r="514" spans="1:6" x14ac:dyDescent="0.25">
      <c r="A514">
        <v>2019</v>
      </c>
      <c r="B514" t="s">
        <v>55</v>
      </c>
      <c r="C514" t="s">
        <v>33</v>
      </c>
      <c r="D514" s="1">
        <v>2531</v>
      </c>
      <c r="E514" s="1">
        <v>28532</v>
      </c>
      <c r="F514" s="2">
        <v>51860</v>
      </c>
    </row>
    <row r="515" spans="1:6" x14ac:dyDescent="0.25">
      <c r="A515">
        <v>2019</v>
      </c>
      <c r="B515" t="s">
        <v>55</v>
      </c>
      <c r="C515" t="s">
        <v>34</v>
      </c>
      <c r="D515" s="1">
        <v>4402</v>
      </c>
      <c r="E515" s="1">
        <v>56786</v>
      </c>
      <c r="F515" s="2">
        <v>91249</v>
      </c>
    </row>
    <row r="516" spans="1:6" x14ac:dyDescent="0.25">
      <c r="A516">
        <v>2019</v>
      </c>
      <c r="B516" t="s">
        <v>55</v>
      </c>
      <c r="C516" t="s">
        <v>35</v>
      </c>
      <c r="D516" s="1">
        <v>4633</v>
      </c>
      <c r="E516" s="1">
        <v>54550</v>
      </c>
      <c r="F516" s="2">
        <v>37586</v>
      </c>
    </row>
    <row r="517" spans="1:6" x14ac:dyDescent="0.25">
      <c r="A517">
        <v>2019</v>
      </c>
      <c r="B517" t="s">
        <v>55</v>
      </c>
      <c r="C517" t="s">
        <v>36</v>
      </c>
      <c r="D517" s="1">
        <v>3616</v>
      </c>
      <c r="E517" s="1">
        <v>52904</v>
      </c>
      <c r="F517" s="2">
        <v>65014</v>
      </c>
    </row>
    <row r="518" spans="1:6" x14ac:dyDescent="0.25">
      <c r="A518">
        <v>2019</v>
      </c>
      <c r="B518" t="s">
        <v>55</v>
      </c>
      <c r="C518" t="s">
        <v>37</v>
      </c>
      <c r="D518">
        <v>198</v>
      </c>
      <c r="E518" s="1">
        <v>1121</v>
      </c>
      <c r="F518" s="2">
        <v>39917</v>
      </c>
    </row>
    <row r="519" spans="1:6" x14ac:dyDescent="0.25">
      <c r="A519">
        <v>2019</v>
      </c>
      <c r="B519" t="s">
        <v>55</v>
      </c>
      <c r="C519" t="s">
        <v>38</v>
      </c>
      <c r="D519" s="1">
        <v>1345</v>
      </c>
      <c r="E519" s="1">
        <v>12552</v>
      </c>
      <c r="F519" s="2">
        <v>43952</v>
      </c>
    </row>
    <row r="520" spans="1:6" x14ac:dyDescent="0.25">
      <c r="A520">
        <v>2019</v>
      </c>
      <c r="B520" t="s">
        <v>55</v>
      </c>
      <c r="C520" t="s">
        <v>39</v>
      </c>
      <c r="D520" s="1">
        <v>1063</v>
      </c>
      <c r="E520" s="1">
        <v>6986</v>
      </c>
      <c r="F520" s="2">
        <v>43642</v>
      </c>
    </row>
    <row r="521" spans="1:6" x14ac:dyDescent="0.25">
      <c r="A521">
        <v>2019</v>
      </c>
      <c r="B521" t="s">
        <v>55</v>
      </c>
      <c r="C521" t="s">
        <v>40</v>
      </c>
      <c r="D521" s="1">
        <v>1107</v>
      </c>
      <c r="E521" s="1">
        <v>11568</v>
      </c>
      <c r="F521" s="2">
        <v>46865</v>
      </c>
    </row>
    <row r="522" spans="1:6" x14ac:dyDescent="0.25">
      <c r="A522">
        <v>2019</v>
      </c>
      <c r="B522" t="s">
        <v>55</v>
      </c>
      <c r="C522" t="s">
        <v>41</v>
      </c>
      <c r="D522" s="1">
        <v>19971</v>
      </c>
      <c r="E522" s="1">
        <v>307800</v>
      </c>
      <c r="F522" s="2">
        <v>114918</v>
      </c>
    </row>
    <row r="523" spans="1:6" x14ac:dyDescent="0.25">
      <c r="A523">
        <v>2019</v>
      </c>
      <c r="B523" t="s">
        <v>55</v>
      </c>
      <c r="C523" t="s">
        <v>42</v>
      </c>
      <c r="D523" s="1">
        <v>1032</v>
      </c>
      <c r="E523" s="1">
        <v>15160</v>
      </c>
      <c r="F523" s="2">
        <v>63604</v>
      </c>
    </row>
    <row r="524" spans="1:6" x14ac:dyDescent="0.25">
      <c r="A524">
        <v>2019</v>
      </c>
      <c r="B524" t="s">
        <v>55</v>
      </c>
      <c r="C524" t="s">
        <v>43</v>
      </c>
      <c r="D524">
        <v>564</v>
      </c>
      <c r="E524" s="1">
        <v>4130</v>
      </c>
      <c r="F524" s="2">
        <v>39607</v>
      </c>
    </row>
    <row r="525" spans="1:6" x14ac:dyDescent="0.25">
      <c r="A525">
        <v>2019</v>
      </c>
      <c r="B525" t="s">
        <v>55</v>
      </c>
      <c r="C525" t="s">
        <v>44</v>
      </c>
      <c r="D525" s="1">
        <v>2095</v>
      </c>
      <c r="E525" s="1">
        <v>18691</v>
      </c>
      <c r="F525" s="2">
        <v>48704</v>
      </c>
    </row>
    <row r="526" spans="1:6" x14ac:dyDescent="0.25">
      <c r="A526">
        <v>2019</v>
      </c>
      <c r="B526" t="s">
        <v>55</v>
      </c>
      <c r="C526" t="s">
        <v>45</v>
      </c>
      <c r="D526" s="1">
        <v>7117</v>
      </c>
      <c r="E526" s="1">
        <v>105362</v>
      </c>
      <c r="F526" s="2">
        <v>34547</v>
      </c>
    </row>
    <row r="527" spans="1:6" x14ac:dyDescent="0.25">
      <c r="A527">
        <v>2019</v>
      </c>
      <c r="B527" t="s">
        <v>55</v>
      </c>
      <c r="C527" t="s">
        <v>46</v>
      </c>
      <c r="D527" s="1">
        <v>1166</v>
      </c>
      <c r="E527" s="1">
        <v>23333</v>
      </c>
      <c r="F527" s="2">
        <v>80470</v>
      </c>
    </row>
    <row r="528" spans="1:6" x14ac:dyDescent="0.25">
      <c r="A528">
        <v>2019</v>
      </c>
      <c r="B528" t="s">
        <v>55</v>
      </c>
      <c r="C528" t="s">
        <v>47</v>
      </c>
      <c r="D528" s="1">
        <v>2876</v>
      </c>
      <c r="E528" s="1">
        <v>31424</v>
      </c>
      <c r="F528" s="2">
        <v>40225</v>
      </c>
    </row>
    <row r="529" spans="1:6" x14ac:dyDescent="0.25">
      <c r="A529">
        <v>2019</v>
      </c>
      <c r="B529" t="s">
        <v>55</v>
      </c>
      <c r="C529" t="s">
        <v>48</v>
      </c>
      <c r="D529" s="1">
        <v>1463</v>
      </c>
      <c r="E529" s="1">
        <v>23524</v>
      </c>
      <c r="F529" s="2">
        <v>86467</v>
      </c>
    </row>
    <row r="530" spans="1:6" x14ac:dyDescent="0.25">
      <c r="A530">
        <v>2019</v>
      </c>
      <c r="B530" t="s">
        <v>51</v>
      </c>
      <c r="C530" t="s">
        <v>1</v>
      </c>
      <c r="D530" s="1">
        <v>10069</v>
      </c>
      <c r="E530" s="1">
        <v>93619</v>
      </c>
      <c r="F530" s="2">
        <v>56141</v>
      </c>
    </row>
    <row r="531" spans="1:6" x14ac:dyDescent="0.25">
      <c r="A531">
        <v>2019</v>
      </c>
      <c r="B531" t="s">
        <v>51</v>
      </c>
      <c r="C531" t="s">
        <v>2</v>
      </c>
      <c r="D531" s="1">
        <v>13677</v>
      </c>
      <c r="E531" s="1">
        <v>171309</v>
      </c>
      <c r="F531" s="2">
        <v>58621</v>
      </c>
    </row>
    <row r="532" spans="1:6" x14ac:dyDescent="0.25">
      <c r="A532">
        <v>2019</v>
      </c>
      <c r="B532" t="s">
        <v>51</v>
      </c>
      <c r="C532" t="s">
        <v>3</v>
      </c>
      <c r="D532" s="1">
        <v>7093</v>
      </c>
      <c r="E532" s="1">
        <v>52538</v>
      </c>
      <c r="F532" s="2">
        <v>49541</v>
      </c>
    </row>
    <row r="533" spans="1:6" x14ac:dyDescent="0.25">
      <c r="A533">
        <v>2019</v>
      </c>
      <c r="B533" t="s">
        <v>51</v>
      </c>
      <c r="C533" t="s">
        <v>4</v>
      </c>
      <c r="D533" s="1">
        <v>84247</v>
      </c>
      <c r="E533" s="1">
        <v>885668</v>
      </c>
      <c r="F533" s="2">
        <v>73343</v>
      </c>
    </row>
    <row r="534" spans="1:6" x14ac:dyDescent="0.25">
      <c r="A534">
        <v>2019</v>
      </c>
      <c r="B534" t="s">
        <v>51</v>
      </c>
      <c r="C534" t="s">
        <v>5</v>
      </c>
      <c r="D534" s="1">
        <v>20430</v>
      </c>
      <c r="E534" s="1">
        <v>178880</v>
      </c>
      <c r="F534" s="2">
        <v>64603</v>
      </c>
    </row>
    <row r="535" spans="1:6" x14ac:dyDescent="0.25">
      <c r="A535">
        <v>2019</v>
      </c>
      <c r="B535" t="s">
        <v>51</v>
      </c>
      <c r="C535" t="s">
        <v>6</v>
      </c>
      <c r="D535" s="1">
        <v>9496</v>
      </c>
      <c r="E535" s="1">
        <v>59731</v>
      </c>
      <c r="F535" s="2">
        <v>72413</v>
      </c>
    </row>
    <row r="536" spans="1:6" x14ac:dyDescent="0.25">
      <c r="A536">
        <v>2019</v>
      </c>
      <c r="B536" t="s">
        <v>51</v>
      </c>
      <c r="C536" t="s">
        <v>7</v>
      </c>
      <c r="D536" s="1">
        <v>3007</v>
      </c>
      <c r="E536" s="1">
        <v>22909</v>
      </c>
      <c r="F536" s="2">
        <v>62481</v>
      </c>
    </row>
    <row r="537" spans="1:6" x14ac:dyDescent="0.25">
      <c r="A537">
        <v>2019</v>
      </c>
      <c r="B537" t="s">
        <v>51</v>
      </c>
      <c r="C537" t="s">
        <v>8</v>
      </c>
      <c r="D537" s="1">
        <v>74711</v>
      </c>
      <c r="E537" s="1">
        <v>563526</v>
      </c>
      <c r="F537" s="2">
        <v>52893</v>
      </c>
    </row>
    <row r="538" spans="1:6" x14ac:dyDescent="0.25">
      <c r="A538">
        <v>2019</v>
      </c>
      <c r="B538" t="s">
        <v>51</v>
      </c>
      <c r="C538" t="s">
        <v>9</v>
      </c>
      <c r="D538" s="1">
        <v>21408</v>
      </c>
      <c r="E538" s="1">
        <v>203951</v>
      </c>
      <c r="F538" s="2">
        <v>63683</v>
      </c>
    </row>
    <row r="539" spans="1:6" x14ac:dyDescent="0.25">
      <c r="A539">
        <v>2019</v>
      </c>
      <c r="B539" t="s">
        <v>51</v>
      </c>
      <c r="C539" t="s">
        <v>10</v>
      </c>
      <c r="D539" s="1">
        <v>8175</v>
      </c>
      <c r="E539" s="1">
        <v>50684</v>
      </c>
      <c r="F539" s="2">
        <v>46258</v>
      </c>
    </row>
    <row r="540" spans="1:6" x14ac:dyDescent="0.25">
      <c r="A540">
        <v>2019</v>
      </c>
      <c r="B540" t="s">
        <v>51</v>
      </c>
      <c r="C540" t="s">
        <v>11</v>
      </c>
      <c r="D540" s="1">
        <v>32686</v>
      </c>
      <c r="E540" s="1">
        <v>227968</v>
      </c>
      <c r="F540" s="2">
        <v>73799</v>
      </c>
    </row>
    <row r="541" spans="1:6" x14ac:dyDescent="0.25">
      <c r="A541">
        <v>2019</v>
      </c>
      <c r="B541" t="s">
        <v>51</v>
      </c>
      <c r="C541" t="s">
        <v>12</v>
      </c>
      <c r="D541" s="1">
        <v>15232</v>
      </c>
      <c r="E541" s="1">
        <v>145851</v>
      </c>
      <c r="F541" s="2">
        <v>60057</v>
      </c>
    </row>
    <row r="542" spans="1:6" x14ac:dyDescent="0.25">
      <c r="A542">
        <v>2019</v>
      </c>
      <c r="B542" t="s">
        <v>51</v>
      </c>
      <c r="C542" t="s">
        <v>13</v>
      </c>
      <c r="D542" s="1">
        <v>9462</v>
      </c>
      <c r="E542" s="1">
        <v>78134</v>
      </c>
      <c r="F542" s="2">
        <v>58962</v>
      </c>
    </row>
    <row r="543" spans="1:6" x14ac:dyDescent="0.25">
      <c r="A543">
        <v>2019</v>
      </c>
      <c r="B543" t="s">
        <v>51</v>
      </c>
      <c r="C543" t="s">
        <v>14</v>
      </c>
      <c r="D543" s="1">
        <v>7399</v>
      </c>
      <c r="E543" s="1">
        <v>63735</v>
      </c>
      <c r="F543" s="2">
        <v>57030</v>
      </c>
    </row>
    <row r="544" spans="1:6" x14ac:dyDescent="0.25">
      <c r="A544">
        <v>2019</v>
      </c>
      <c r="B544" t="s">
        <v>51</v>
      </c>
      <c r="C544" t="s">
        <v>15</v>
      </c>
      <c r="D544" s="1">
        <v>9517</v>
      </c>
      <c r="E544" s="1">
        <v>80463</v>
      </c>
      <c r="F544" s="2">
        <v>55601</v>
      </c>
    </row>
    <row r="545" spans="1:6" x14ac:dyDescent="0.25">
      <c r="A545">
        <v>2019</v>
      </c>
      <c r="B545" t="s">
        <v>51</v>
      </c>
      <c r="C545" t="s">
        <v>16</v>
      </c>
      <c r="D545" s="1">
        <v>10991</v>
      </c>
      <c r="E545" s="1">
        <v>142033</v>
      </c>
      <c r="F545" s="2">
        <v>64940</v>
      </c>
    </row>
    <row r="546" spans="1:6" x14ac:dyDescent="0.25">
      <c r="A546">
        <v>2019</v>
      </c>
      <c r="B546" t="s">
        <v>51</v>
      </c>
      <c r="C546" t="s">
        <v>17</v>
      </c>
      <c r="D546" s="1">
        <v>5605</v>
      </c>
      <c r="E546" s="1">
        <v>29987</v>
      </c>
      <c r="F546" s="2">
        <v>51654</v>
      </c>
    </row>
    <row r="547" spans="1:6" x14ac:dyDescent="0.25">
      <c r="A547">
        <v>2019</v>
      </c>
      <c r="B547" t="s">
        <v>51</v>
      </c>
      <c r="C547" t="s">
        <v>18</v>
      </c>
      <c r="D547" s="1">
        <v>16694</v>
      </c>
      <c r="E547" s="1">
        <v>166132</v>
      </c>
      <c r="F547" s="2">
        <v>67799</v>
      </c>
    </row>
    <row r="548" spans="1:6" x14ac:dyDescent="0.25">
      <c r="A548">
        <v>2019</v>
      </c>
      <c r="B548" t="s">
        <v>51</v>
      </c>
      <c r="C548" t="s">
        <v>19</v>
      </c>
      <c r="D548" s="1">
        <v>21309</v>
      </c>
      <c r="E548" s="1">
        <v>163062</v>
      </c>
      <c r="F548" s="2">
        <v>81436</v>
      </c>
    </row>
    <row r="549" spans="1:6" x14ac:dyDescent="0.25">
      <c r="A549">
        <v>2019</v>
      </c>
      <c r="B549" t="s">
        <v>51</v>
      </c>
      <c r="C549" t="s">
        <v>20</v>
      </c>
      <c r="D549" s="1">
        <v>21106</v>
      </c>
      <c r="E549" s="1">
        <v>173015</v>
      </c>
      <c r="F549" s="2">
        <v>63588</v>
      </c>
    </row>
    <row r="550" spans="1:6" x14ac:dyDescent="0.25">
      <c r="A550">
        <v>2019</v>
      </c>
      <c r="B550" t="s">
        <v>51</v>
      </c>
      <c r="C550" t="s">
        <v>21</v>
      </c>
      <c r="D550" s="1">
        <v>16700</v>
      </c>
      <c r="E550" s="1">
        <v>127092</v>
      </c>
      <c r="F550" s="2">
        <v>69734</v>
      </c>
    </row>
    <row r="551" spans="1:6" x14ac:dyDescent="0.25">
      <c r="A551">
        <v>2019</v>
      </c>
      <c r="B551" t="s">
        <v>51</v>
      </c>
      <c r="C551" t="s">
        <v>22</v>
      </c>
      <c r="D551" s="1">
        <v>5771</v>
      </c>
      <c r="E551" s="1">
        <v>44543</v>
      </c>
      <c r="F551" s="2">
        <v>50925</v>
      </c>
    </row>
    <row r="552" spans="1:6" x14ac:dyDescent="0.25">
      <c r="A552">
        <v>2019</v>
      </c>
      <c r="B552" t="s">
        <v>51</v>
      </c>
      <c r="C552" t="s">
        <v>23</v>
      </c>
      <c r="D552" s="1">
        <v>15133</v>
      </c>
      <c r="E552" s="1">
        <v>126641</v>
      </c>
      <c r="F552" s="2">
        <v>61762</v>
      </c>
    </row>
    <row r="553" spans="1:6" x14ac:dyDescent="0.25">
      <c r="A553">
        <v>2019</v>
      </c>
      <c r="B553" t="s">
        <v>51</v>
      </c>
      <c r="C553" t="s">
        <v>24</v>
      </c>
      <c r="D553" s="1">
        <v>6432</v>
      </c>
      <c r="E553" s="1">
        <v>29914</v>
      </c>
      <c r="F553" s="2">
        <v>53962</v>
      </c>
    </row>
    <row r="554" spans="1:6" x14ac:dyDescent="0.25">
      <c r="A554">
        <v>2019</v>
      </c>
      <c r="B554" t="s">
        <v>51</v>
      </c>
      <c r="C554" t="s">
        <v>25</v>
      </c>
      <c r="D554" s="1">
        <v>7038</v>
      </c>
      <c r="E554" s="1">
        <v>53732</v>
      </c>
      <c r="F554" s="2">
        <v>53794</v>
      </c>
    </row>
    <row r="555" spans="1:6" x14ac:dyDescent="0.25">
      <c r="A555">
        <v>2019</v>
      </c>
      <c r="B555" t="s">
        <v>51</v>
      </c>
      <c r="C555" t="s">
        <v>26</v>
      </c>
      <c r="D555" s="1">
        <v>5852</v>
      </c>
      <c r="E555" s="1">
        <v>95939</v>
      </c>
      <c r="F555" s="2">
        <v>64365</v>
      </c>
    </row>
    <row r="556" spans="1:6" x14ac:dyDescent="0.25">
      <c r="A556">
        <v>2019</v>
      </c>
      <c r="B556" t="s">
        <v>51</v>
      </c>
      <c r="C556" t="s">
        <v>27</v>
      </c>
      <c r="D556" s="1">
        <v>4692</v>
      </c>
      <c r="E556" s="1">
        <v>27825</v>
      </c>
      <c r="F556" s="2">
        <v>64868</v>
      </c>
    </row>
    <row r="557" spans="1:6" x14ac:dyDescent="0.25">
      <c r="A557">
        <v>2019</v>
      </c>
      <c r="B557" t="s">
        <v>51</v>
      </c>
      <c r="C557" t="s">
        <v>28</v>
      </c>
      <c r="D557" s="1">
        <v>22556</v>
      </c>
      <c r="E557" s="1">
        <v>159462</v>
      </c>
      <c r="F557" s="2">
        <v>74644</v>
      </c>
    </row>
    <row r="558" spans="1:6" x14ac:dyDescent="0.25">
      <c r="A558">
        <v>2019</v>
      </c>
      <c r="B558" t="s">
        <v>51</v>
      </c>
      <c r="C558" t="s">
        <v>29</v>
      </c>
      <c r="D558" s="1">
        <v>5571</v>
      </c>
      <c r="E558" s="1">
        <v>50153</v>
      </c>
      <c r="F558" s="2">
        <v>52091</v>
      </c>
    </row>
    <row r="559" spans="1:6" x14ac:dyDescent="0.25">
      <c r="A559">
        <v>2019</v>
      </c>
      <c r="B559" t="s">
        <v>51</v>
      </c>
      <c r="C559" t="s">
        <v>30</v>
      </c>
      <c r="D559" s="1">
        <v>50432</v>
      </c>
      <c r="E559" s="1">
        <v>405650</v>
      </c>
      <c r="F559" s="2">
        <v>75570</v>
      </c>
    </row>
    <row r="560" spans="1:6" x14ac:dyDescent="0.25">
      <c r="A560">
        <v>2019</v>
      </c>
      <c r="B560" t="s">
        <v>51</v>
      </c>
      <c r="C560" t="s">
        <v>31</v>
      </c>
      <c r="D560" s="1">
        <v>27974</v>
      </c>
      <c r="E560" s="1">
        <v>231739</v>
      </c>
      <c r="F560" s="2">
        <v>56974</v>
      </c>
    </row>
    <row r="561" spans="1:6" x14ac:dyDescent="0.25">
      <c r="A561">
        <v>2019</v>
      </c>
      <c r="B561" t="s">
        <v>51</v>
      </c>
      <c r="C561" t="s">
        <v>32</v>
      </c>
      <c r="D561" s="1">
        <v>3692</v>
      </c>
      <c r="E561" s="1">
        <v>27961</v>
      </c>
      <c r="F561" s="2">
        <v>68153</v>
      </c>
    </row>
    <row r="562" spans="1:6" x14ac:dyDescent="0.25">
      <c r="A562">
        <v>2019</v>
      </c>
      <c r="B562" t="s">
        <v>51</v>
      </c>
      <c r="C562" t="s">
        <v>33</v>
      </c>
      <c r="D562" s="1">
        <v>23405</v>
      </c>
      <c r="E562" s="1">
        <v>226563</v>
      </c>
      <c r="F562" s="2">
        <v>62383</v>
      </c>
    </row>
    <row r="563" spans="1:6" x14ac:dyDescent="0.25">
      <c r="A563">
        <v>2019</v>
      </c>
      <c r="B563" t="s">
        <v>51</v>
      </c>
      <c r="C563" t="s">
        <v>34</v>
      </c>
      <c r="D563" s="1">
        <v>9801</v>
      </c>
      <c r="E563" s="1">
        <v>82834</v>
      </c>
      <c r="F563" s="2">
        <v>54435</v>
      </c>
    </row>
    <row r="564" spans="1:6" x14ac:dyDescent="0.25">
      <c r="A564">
        <v>2019</v>
      </c>
      <c r="B564" t="s">
        <v>51</v>
      </c>
      <c r="C564" t="s">
        <v>35</v>
      </c>
      <c r="D564" s="1">
        <v>14626</v>
      </c>
      <c r="E564" s="1">
        <v>108871</v>
      </c>
      <c r="F564" s="2">
        <v>63148</v>
      </c>
    </row>
    <row r="565" spans="1:6" x14ac:dyDescent="0.25">
      <c r="A565">
        <v>2019</v>
      </c>
      <c r="B565" t="s">
        <v>51</v>
      </c>
      <c r="C565" t="s">
        <v>36</v>
      </c>
      <c r="D565" s="1">
        <v>29139</v>
      </c>
      <c r="E565" s="1">
        <v>260895</v>
      </c>
      <c r="F565" s="2">
        <v>68612</v>
      </c>
    </row>
    <row r="566" spans="1:6" x14ac:dyDescent="0.25">
      <c r="A566">
        <v>2019</v>
      </c>
      <c r="B566" t="s">
        <v>51</v>
      </c>
      <c r="C566" t="s">
        <v>37</v>
      </c>
      <c r="D566" s="1">
        <v>3833</v>
      </c>
      <c r="E566" s="1">
        <v>19980</v>
      </c>
      <c r="F566" s="2">
        <v>63414</v>
      </c>
    </row>
    <row r="567" spans="1:6" x14ac:dyDescent="0.25">
      <c r="A567">
        <v>2019</v>
      </c>
      <c r="B567" t="s">
        <v>51</v>
      </c>
      <c r="C567" t="s">
        <v>38</v>
      </c>
      <c r="D567" s="1">
        <v>12956</v>
      </c>
      <c r="E567" s="1">
        <v>107028</v>
      </c>
      <c r="F567" s="2">
        <v>55230</v>
      </c>
    </row>
    <row r="568" spans="1:6" x14ac:dyDescent="0.25">
      <c r="A568">
        <v>2019</v>
      </c>
      <c r="B568" t="s">
        <v>51</v>
      </c>
      <c r="C568" t="s">
        <v>39</v>
      </c>
      <c r="D568" s="1">
        <v>3897</v>
      </c>
      <c r="E568" s="1">
        <v>23609</v>
      </c>
      <c r="F568" s="2">
        <v>50997</v>
      </c>
    </row>
    <row r="569" spans="1:6" x14ac:dyDescent="0.25">
      <c r="A569">
        <v>2019</v>
      </c>
      <c r="B569" t="s">
        <v>51</v>
      </c>
      <c r="C569" t="s">
        <v>40</v>
      </c>
      <c r="D569" s="1">
        <v>12487</v>
      </c>
      <c r="E569" s="1">
        <v>130126</v>
      </c>
      <c r="F569" s="2">
        <v>58777</v>
      </c>
    </row>
    <row r="570" spans="1:6" x14ac:dyDescent="0.25">
      <c r="A570">
        <v>2019</v>
      </c>
      <c r="B570" t="s">
        <v>51</v>
      </c>
      <c r="C570" t="s">
        <v>41</v>
      </c>
      <c r="D570" s="1">
        <v>53248</v>
      </c>
      <c r="E570" s="1">
        <v>774190</v>
      </c>
      <c r="F570" s="2">
        <v>67564</v>
      </c>
    </row>
    <row r="571" spans="1:6" x14ac:dyDescent="0.25">
      <c r="A571">
        <v>2019</v>
      </c>
      <c r="B571" t="s">
        <v>51</v>
      </c>
      <c r="C571" t="s">
        <v>42</v>
      </c>
      <c r="D571" s="1">
        <v>12212</v>
      </c>
      <c r="E571" s="1">
        <v>109486</v>
      </c>
      <c r="F571" s="2">
        <v>53428</v>
      </c>
    </row>
    <row r="572" spans="1:6" x14ac:dyDescent="0.25">
      <c r="A572">
        <v>2019</v>
      </c>
      <c r="B572" t="s">
        <v>51</v>
      </c>
      <c r="C572" t="s">
        <v>43</v>
      </c>
      <c r="D572" s="1">
        <v>2846</v>
      </c>
      <c r="E572" s="1">
        <v>15283</v>
      </c>
      <c r="F572" s="2">
        <v>52585</v>
      </c>
    </row>
    <row r="573" spans="1:6" x14ac:dyDescent="0.25">
      <c r="A573">
        <v>2019</v>
      </c>
      <c r="B573" t="s">
        <v>51</v>
      </c>
      <c r="C573" t="s">
        <v>44</v>
      </c>
      <c r="D573" s="1">
        <v>21468</v>
      </c>
      <c r="E573" s="1">
        <v>202134</v>
      </c>
      <c r="F573" s="2">
        <v>60504</v>
      </c>
    </row>
    <row r="574" spans="1:6" x14ac:dyDescent="0.25">
      <c r="A574">
        <v>2019</v>
      </c>
      <c r="B574" t="s">
        <v>51</v>
      </c>
      <c r="C574" t="s">
        <v>45</v>
      </c>
      <c r="D574" s="1">
        <v>26472</v>
      </c>
      <c r="E574" s="1">
        <v>205717</v>
      </c>
      <c r="F574" s="2">
        <v>67833</v>
      </c>
    </row>
    <row r="575" spans="1:6" x14ac:dyDescent="0.25">
      <c r="A575">
        <v>2019</v>
      </c>
      <c r="B575" t="s">
        <v>51</v>
      </c>
      <c r="C575" t="s">
        <v>46</v>
      </c>
      <c r="D575" s="1">
        <v>4338</v>
      </c>
      <c r="E575" s="1">
        <v>35459</v>
      </c>
      <c r="F575" s="2">
        <v>64460</v>
      </c>
    </row>
    <row r="576" spans="1:6" x14ac:dyDescent="0.25">
      <c r="A576">
        <v>2019</v>
      </c>
      <c r="B576" t="s">
        <v>51</v>
      </c>
      <c r="C576" t="s">
        <v>47</v>
      </c>
      <c r="D576" s="1">
        <v>14823</v>
      </c>
      <c r="E576" s="1">
        <v>124384</v>
      </c>
      <c r="F576" s="2">
        <v>63874</v>
      </c>
    </row>
    <row r="577" spans="1:6" x14ac:dyDescent="0.25">
      <c r="A577">
        <v>2019</v>
      </c>
      <c r="B577" t="s">
        <v>51</v>
      </c>
      <c r="C577" t="s">
        <v>48</v>
      </c>
      <c r="D577" s="1">
        <v>3427</v>
      </c>
      <c r="E577" s="1">
        <v>22875</v>
      </c>
      <c r="F577" s="2">
        <v>57417</v>
      </c>
    </row>
    <row r="578" spans="1:6" x14ac:dyDescent="0.25">
      <c r="A578">
        <v>2019</v>
      </c>
      <c r="B578" t="s">
        <v>52</v>
      </c>
      <c r="C578" t="s">
        <v>1</v>
      </c>
      <c r="D578" s="1">
        <v>5677</v>
      </c>
      <c r="E578" s="1">
        <v>268948</v>
      </c>
      <c r="F578" s="2">
        <v>58532</v>
      </c>
    </row>
    <row r="579" spans="1:6" x14ac:dyDescent="0.25">
      <c r="A579">
        <v>2019</v>
      </c>
      <c r="B579" t="s">
        <v>52</v>
      </c>
      <c r="C579" t="s">
        <v>2</v>
      </c>
      <c r="D579" s="1">
        <v>5157</v>
      </c>
      <c r="E579" s="1">
        <v>177610</v>
      </c>
      <c r="F579" s="2">
        <v>78966</v>
      </c>
    </row>
    <row r="580" spans="1:6" x14ac:dyDescent="0.25">
      <c r="A580">
        <v>2019</v>
      </c>
      <c r="B580" t="s">
        <v>52</v>
      </c>
      <c r="C580" t="s">
        <v>3</v>
      </c>
      <c r="D580" s="1">
        <v>2930</v>
      </c>
      <c r="E580" s="1">
        <v>162214</v>
      </c>
      <c r="F580" s="2">
        <v>49202</v>
      </c>
    </row>
    <row r="581" spans="1:6" x14ac:dyDescent="0.25">
      <c r="A581">
        <v>2019</v>
      </c>
      <c r="B581" t="s">
        <v>52</v>
      </c>
      <c r="C581" t="s">
        <v>4</v>
      </c>
      <c r="D581" s="1">
        <v>44539</v>
      </c>
      <c r="E581" s="1">
        <v>1322455</v>
      </c>
      <c r="F581" s="2">
        <v>98222</v>
      </c>
    </row>
    <row r="582" spans="1:6" x14ac:dyDescent="0.25">
      <c r="A582">
        <v>2019</v>
      </c>
      <c r="B582" t="s">
        <v>52</v>
      </c>
      <c r="C582" t="s">
        <v>5</v>
      </c>
      <c r="D582" s="1">
        <v>5849</v>
      </c>
      <c r="E582" s="1">
        <v>150109</v>
      </c>
      <c r="F582" s="2">
        <v>73935</v>
      </c>
    </row>
    <row r="583" spans="1:6" x14ac:dyDescent="0.25">
      <c r="A583">
        <v>2019</v>
      </c>
      <c r="B583" t="s">
        <v>52</v>
      </c>
      <c r="C583" t="s">
        <v>6</v>
      </c>
      <c r="D583" s="1">
        <v>4405</v>
      </c>
      <c r="E583" s="1">
        <v>161899</v>
      </c>
      <c r="F583" s="2">
        <v>85024</v>
      </c>
    </row>
    <row r="584" spans="1:6" x14ac:dyDescent="0.25">
      <c r="A584">
        <v>2019</v>
      </c>
      <c r="B584" t="s">
        <v>52</v>
      </c>
      <c r="C584" t="s">
        <v>7</v>
      </c>
      <c r="D584">
        <v>663</v>
      </c>
      <c r="E584" s="1">
        <v>27298</v>
      </c>
      <c r="F584" s="2">
        <v>66194</v>
      </c>
    </row>
    <row r="585" spans="1:6" x14ac:dyDescent="0.25">
      <c r="A585">
        <v>2019</v>
      </c>
      <c r="B585" t="s">
        <v>52</v>
      </c>
      <c r="C585" t="s">
        <v>8</v>
      </c>
      <c r="D585" s="1">
        <v>20799</v>
      </c>
      <c r="E585" s="1">
        <v>383956</v>
      </c>
      <c r="F585" s="2">
        <v>63877</v>
      </c>
    </row>
    <row r="586" spans="1:6" x14ac:dyDescent="0.25">
      <c r="A586">
        <v>2019</v>
      </c>
      <c r="B586" t="s">
        <v>52</v>
      </c>
      <c r="C586" t="s">
        <v>9</v>
      </c>
      <c r="D586" s="1">
        <v>10066</v>
      </c>
      <c r="E586" s="1">
        <v>404085</v>
      </c>
      <c r="F586" s="2">
        <v>58246</v>
      </c>
    </row>
    <row r="587" spans="1:6" x14ac:dyDescent="0.25">
      <c r="A587">
        <v>2019</v>
      </c>
      <c r="B587" t="s">
        <v>52</v>
      </c>
      <c r="C587" t="s">
        <v>10</v>
      </c>
      <c r="D587" s="1">
        <v>2680</v>
      </c>
      <c r="E587" s="1">
        <v>68404</v>
      </c>
      <c r="F587" s="2">
        <v>62480</v>
      </c>
    </row>
    <row r="588" spans="1:6" x14ac:dyDescent="0.25">
      <c r="A588">
        <v>2019</v>
      </c>
      <c r="B588" t="s">
        <v>52</v>
      </c>
      <c r="C588" t="s">
        <v>11</v>
      </c>
      <c r="D588" s="1">
        <v>18066</v>
      </c>
      <c r="E588" s="1">
        <v>585894</v>
      </c>
      <c r="F588" s="2">
        <v>72819</v>
      </c>
    </row>
    <row r="589" spans="1:6" x14ac:dyDescent="0.25">
      <c r="A589">
        <v>2019</v>
      </c>
      <c r="B589" t="s">
        <v>52</v>
      </c>
      <c r="C589" t="s">
        <v>12</v>
      </c>
      <c r="D589" s="1">
        <v>9083</v>
      </c>
      <c r="E589" s="1">
        <v>541099</v>
      </c>
      <c r="F589" s="2">
        <v>63320</v>
      </c>
    </row>
    <row r="590" spans="1:6" x14ac:dyDescent="0.25">
      <c r="A590">
        <v>2019</v>
      </c>
      <c r="B590" t="s">
        <v>52</v>
      </c>
      <c r="C590" t="s">
        <v>13</v>
      </c>
      <c r="D590" s="1">
        <v>4132</v>
      </c>
      <c r="E590" s="1">
        <v>226152</v>
      </c>
      <c r="F590" s="2">
        <v>60185</v>
      </c>
    </row>
    <row r="591" spans="1:6" x14ac:dyDescent="0.25">
      <c r="A591">
        <v>2019</v>
      </c>
      <c r="B591" t="s">
        <v>52</v>
      </c>
      <c r="C591" t="s">
        <v>14</v>
      </c>
      <c r="D591" s="1">
        <v>3105</v>
      </c>
      <c r="E591" s="1">
        <v>167196</v>
      </c>
      <c r="F591" s="2">
        <v>59652</v>
      </c>
    </row>
    <row r="592" spans="1:6" x14ac:dyDescent="0.25">
      <c r="A592">
        <v>2019</v>
      </c>
      <c r="B592" t="s">
        <v>52</v>
      </c>
      <c r="C592" t="s">
        <v>15</v>
      </c>
      <c r="D592" s="1">
        <v>4583</v>
      </c>
      <c r="E592" s="1">
        <v>252626</v>
      </c>
      <c r="F592" s="2">
        <v>61167</v>
      </c>
    </row>
    <row r="593" spans="1:6" x14ac:dyDescent="0.25">
      <c r="A593">
        <v>2019</v>
      </c>
      <c r="B593" t="s">
        <v>52</v>
      </c>
      <c r="C593" t="s">
        <v>16</v>
      </c>
      <c r="D593" s="1">
        <v>4453</v>
      </c>
      <c r="E593" s="1">
        <v>137729</v>
      </c>
      <c r="F593" s="2">
        <v>77600</v>
      </c>
    </row>
    <row r="594" spans="1:6" x14ac:dyDescent="0.25">
      <c r="A594">
        <v>2019</v>
      </c>
      <c r="B594" t="s">
        <v>52</v>
      </c>
      <c r="C594" t="s">
        <v>17</v>
      </c>
      <c r="D594" s="1">
        <v>1870</v>
      </c>
      <c r="E594" s="1">
        <v>53047</v>
      </c>
      <c r="F594" s="2">
        <v>57227</v>
      </c>
    </row>
    <row r="595" spans="1:6" x14ac:dyDescent="0.25">
      <c r="A595">
        <v>2019</v>
      </c>
      <c r="B595" t="s">
        <v>52</v>
      </c>
      <c r="C595" t="s">
        <v>18</v>
      </c>
      <c r="D595" s="1">
        <v>4145</v>
      </c>
      <c r="E595" s="1">
        <v>112273</v>
      </c>
      <c r="F595" s="2">
        <v>79016</v>
      </c>
    </row>
    <row r="596" spans="1:6" x14ac:dyDescent="0.25">
      <c r="A596">
        <v>2019</v>
      </c>
      <c r="B596" t="s">
        <v>52</v>
      </c>
      <c r="C596" t="s">
        <v>19</v>
      </c>
      <c r="D596" s="1">
        <v>6682</v>
      </c>
      <c r="E596" s="1">
        <v>244258</v>
      </c>
      <c r="F596" s="2">
        <v>89698</v>
      </c>
    </row>
    <row r="597" spans="1:6" x14ac:dyDescent="0.25">
      <c r="A597">
        <v>2019</v>
      </c>
      <c r="B597" t="s">
        <v>52</v>
      </c>
      <c r="C597" t="s">
        <v>20</v>
      </c>
      <c r="D597" s="1">
        <v>16948</v>
      </c>
      <c r="E597" s="1">
        <v>625676</v>
      </c>
      <c r="F597" s="2">
        <v>68465</v>
      </c>
    </row>
    <row r="598" spans="1:6" x14ac:dyDescent="0.25">
      <c r="A598">
        <v>2019</v>
      </c>
      <c r="B598" t="s">
        <v>52</v>
      </c>
      <c r="C598" t="s">
        <v>21</v>
      </c>
      <c r="D598" s="1">
        <v>8265</v>
      </c>
      <c r="E598" s="1">
        <v>324018</v>
      </c>
      <c r="F598" s="2">
        <v>68082</v>
      </c>
    </row>
    <row r="599" spans="1:6" x14ac:dyDescent="0.25">
      <c r="A599">
        <v>2019</v>
      </c>
      <c r="B599" t="s">
        <v>52</v>
      </c>
      <c r="C599" t="s">
        <v>22</v>
      </c>
      <c r="D599" s="1">
        <v>2396</v>
      </c>
      <c r="E599" s="1">
        <v>146775</v>
      </c>
      <c r="F599" s="2">
        <v>50065</v>
      </c>
    </row>
    <row r="600" spans="1:6" x14ac:dyDescent="0.25">
      <c r="A600">
        <v>2019</v>
      </c>
      <c r="B600" t="s">
        <v>52</v>
      </c>
      <c r="C600" t="s">
        <v>23</v>
      </c>
      <c r="D600" s="1">
        <v>6681</v>
      </c>
      <c r="E600" s="1">
        <v>277104</v>
      </c>
      <c r="F600" s="2">
        <v>59758</v>
      </c>
    </row>
    <row r="601" spans="1:6" x14ac:dyDescent="0.25">
      <c r="A601">
        <v>2019</v>
      </c>
      <c r="B601" t="s">
        <v>52</v>
      </c>
      <c r="C601" t="s">
        <v>24</v>
      </c>
      <c r="D601" s="1">
        <v>1625</v>
      </c>
      <c r="E601" s="1">
        <v>20972</v>
      </c>
      <c r="F601" s="2">
        <v>51666</v>
      </c>
    </row>
    <row r="602" spans="1:6" x14ac:dyDescent="0.25">
      <c r="A602">
        <v>2019</v>
      </c>
      <c r="B602" t="s">
        <v>52</v>
      </c>
      <c r="C602" t="s">
        <v>25</v>
      </c>
      <c r="D602" s="1">
        <v>1974</v>
      </c>
      <c r="E602" s="1">
        <v>99914</v>
      </c>
      <c r="F602" s="2">
        <v>52716</v>
      </c>
    </row>
    <row r="603" spans="1:6" x14ac:dyDescent="0.25">
      <c r="A603">
        <v>2019</v>
      </c>
      <c r="B603" t="s">
        <v>52</v>
      </c>
      <c r="C603" t="s">
        <v>26</v>
      </c>
      <c r="D603" s="1">
        <v>2069</v>
      </c>
      <c r="E603" s="1">
        <v>59279</v>
      </c>
      <c r="F603" s="2">
        <v>59498</v>
      </c>
    </row>
    <row r="604" spans="1:6" x14ac:dyDescent="0.25">
      <c r="A604">
        <v>2019</v>
      </c>
      <c r="B604" t="s">
        <v>52</v>
      </c>
      <c r="C604" t="s">
        <v>27</v>
      </c>
      <c r="D604" s="1">
        <v>2012</v>
      </c>
      <c r="E604" s="1">
        <v>71459</v>
      </c>
      <c r="F604" s="2">
        <v>73007</v>
      </c>
    </row>
    <row r="605" spans="1:6" x14ac:dyDescent="0.25">
      <c r="A605">
        <v>2019</v>
      </c>
      <c r="B605" t="s">
        <v>52</v>
      </c>
      <c r="C605" t="s">
        <v>28</v>
      </c>
      <c r="D605" s="1">
        <v>8994</v>
      </c>
      <c r="E605" s="1">
        <v>249464</v>
      </c>
      <c r="F605" s="2">
        <v>81649</v>
      </c>
    </row>
    <row r="606" spans="1:6" x14ac:dyDescent="0.25">
      <c r="A606">
        <v>2019</v>
      </c>
      <c r="B606" t="s">
        <v>52</v>
      </c>
      <c r="C606" t="s">
        <v>29</v>
      </c>
      <c r="D606" s="1">
        <v>1810</v>
      </c>
      <c r="E606" s="1">
        <v>28514</v>
      </c>
      <c r="F606" s="2">
        <v>55737</v>
      </c>
    </row>
    <row r="607" spans="1:6" x14ac:dyDescent="0.25">
      <c r="A607">
        <v>2019</v>
      </c>
      <c r="B607" t="s">
        <v>52</v>
      </c>
      <c r="C607" t="s">
        <v>30</v>
      </c>
      <c r="D607" s="1">
        <v>16457</v>
      </c>
      <c r="E607" s="1">
        <v>437040</v>
      </c>
      <c r="F607" s="2">
        <v>69154</v>
      </c>
    </row>
    <row r="608" spans="1:6" x14ac:dyDescent="0.25">
      <c r="A608">
        <v>2019</v>
      </c>
      <c r="B608" t="s">
        <v>52</v>
      </c>
      <c r="C608" t="s">
        <v>31</v>
      </c>
      <c r="D608" s="1">
        <v>10247</v>
      </c>
      <c r="E608" s="1">
        <v>477086</v>
      </c>
      <c r="F608" s="2">
        <v>61095</v>
      </c>
    </row>
    <row r="609" spans="1:6" x14ac:dyDescent="0.25">
      <c r="A609">
        <v>2019</v>
      </c>
      <c r="B609" t="s">
        <v>52</v>
      </c>
      <c r="C609" t="s">
        <v>32</v>
      </c>
      <c r="D609">
        <v>808</v>
      </c>
      <c r="E609" s="1">
        <v>26471</v>
      </c>
      <c r="F609" s="2">
        <v>55179</v>
      </c>
    </row>
    <row r="610" spans="1:6" x14ac:dyDescent="0.25">
      <c r="A610">
        <v>2019</v>
      </c>
      <c r="B610" t="s">
        <v>52</v>
      </c>
      <c r="C610" t="s">
        <v>33</v>
      </c>
      <c r="D610" s="1">
        <v>15486</v>
      </c>
      <c r="E610" s="1">
        <v>700786</v>
      </c>
      <c r="F610" s="2">
        <v>62878</v>
      </c>
    </row>
    <row r="611" spans="1:6" x14ac:dyDescent="0.25">
      <c r="A611">
        <v>2019</v>
      </c>
      <c r="B611" t="s">
        <v>52</v>
      </c>
      <c r="C611" t="s">
        <v>34</v>
      </c>
      <c r="D611" s="1">
        <v>4213</v>
      </c>
      <c r="E611" s="1">
        <v>140812</v>
      </c>
      <c r="F611" s="2">
        <v>59951</v>
      </c>
    </row>
    <row r="612" spans="1:6" x14ac:dyDescent="0.25">
      <c r="A612">
        <v>2019</v>
      </c>
      <c r="B612" t="s">
        <v>52</v>
      </c>
      <c r="C612" t="s">
        <v>35</v>
      </c>
      <c r="D612" s="1">
        <v>6396</v>
      </c>
      <c r="E612" s="1">
        <v>197626</v>
      </c>
      <c r="F612" s="2">
        <v>71436</v>
      </c>
    </row>
    <row r="613" spans="1:6" x14ac:dyDescent="0.25">
      <c r="A613">
        <v>2019</v>
      </c>
      <c r="B613" t="s">
        <v>52</v>
      </c>
      <c r="C613" t="s">
        <v>36</v>
      </c>
      <c r="D613" s="1">
        <v>14432</v>
      </c>
      <c r="E613" s="1">
        <v>574751</v>
      </c>
      <c r="F613" s="2">
        <v>64231</v>
      </c>
    </row>
    <row r="614" spans="1:6" x14ac:dyDescent="0.25">
      <c r="A614">
        <v>2019</v>
      </c>
      <c r="B614" t="s">
        <v>52</v>
      </c>
      <c r="C614" t="s">
        <v>37</v>
      </c>
      <c r="D614" s="1">
        <v>1636</v>
      </c>
      <c r="E614" s="1">
        <v>39736</v>
      </c>
      <c r="F614" s="2">
        <v>60286</v>
      </c>
    </row>
    <row r="615" spans="1:6" x14ac:dyDescent="0.25">
      <c r="A615">
        <v>2019</v>
      </c>
      <c r="B615" t="s">
        <v>52</v>
      </c>
      <c r="C615" t="s">
        <v>38</v>
      </c>
      <c r="D615" s="1">
        <v>6414</v>
      </c>
      <c r="E615" s="1">
        <v>258252</v>
      </c>
      <c r="F615" s="2">
        <v>60850</v>
      </c>
    </row>
    <row r="616" spans="1:6" x14ac:dyDescent="0.25">
      <c r="A616">
        <v>2019</v>
      </c>
      <c r="B616" t="s">
        <v>52</v>
      </c>
      <c r="C616" t="s">
        <v>39</v>
      </c>
      <c r="D616" s="1">
        <v>1067</v>
      </c>
      <c r="E616" s="1">
        <v>44972</v>
      </c>
      <c r="F616" s="2">
        <v>50219</v>
      </c>
    </row>
    <row r="617" spans="1:6" x14ac:dyDescent="0.25">
      <c r="A617">
        <v>2019</v>
      </c>
      <c r="B617" t="s">
        <v>52</v>
      </c>
      <c r="C617" t="s">
        <v>40</v>
      </c>
      <c r="D617" s="1">
        <v>7272</v>
      </c>
      <c r="E617" s="1">
        <v>354961</v>
      </c>
      <c r="F617" s="2">
        <v>60305</v>
      </c>
    </row>
    <row r="618" spans="1:6" x14ac:dyDescent="0.25">
      <c r="A618">
        <v>2019</v>
      </c>
      <c r="B618" t="s">
        <v>52</v>
      </c>
      <c r="C618" t="s">
        <v>41</v>
      </c>
      <c r="D618" s="1">
        <v>25577</v>
      </c>
      <c r="E618" s="1">
        <v>905953</v>
      </c>
      <c r="F618" s="2">
        <v>79766</v>
      </c>
    </row>
    <row r="619" spans="1:6" x14ac:dyDescent="0.25">
      <c r="A619">
        <v>2019</v>
      </c>
      <c r="B619" t="s">
        <v>52</v>
      </c>
      <c r="C619" t="s">
        <v>42</v>
      </c>
      <c r="D619" s="1">
        <v>4547</v>
      </c>
      <c r="E619" s="1">
        <v>136085</v>
      </c>
      <c r="F619" s="2">
        <v>59426</v>
      </c>
    </row>
    <row r="620" spans="1:6" x14ac:dyDescent="0.25">
      <c r="A620">
        <v>2019</v>
      </c>
      <c r="B620" t="s">
        <v>52</v>
      </c>
      <c r="C620" t="s">
        <v>43</v>
      </c>
      <c r="D620" s="1">
        <v>1108</v>
      </c>
      <c r="E620" s="1">
        <v>30091</v>
      </c>
      <c r="F620" s="2">
        <v>60807</v>
      </c>
    </row>
    <row r="621" spans="1:6" x14ac:dyDescent="0.25">
      <c r="A621">
        <v>2019</v>
      </c>
      <c r="B621" t="s">
        <v>52</v>
      </c>
      <c r="C621" t="s">
        <v>44</v>
      </c>
      <c r="D621" s="1">
        <v>6864</v>
      </c>
      <c r="E621" s="1">
        <v>242160</v>
      </c>
      <c r="F621" s="2">
        <v>61341</v>
      </c>
    </row>
    <row r="622" spans="1:6" x14ac:dyDescent="0.25">
      <c r="A622">
        <v>2019</v>
      </c>
      <c r="B622" t="s">
        <v>52</v>
      </c>
      <c r="C622" t="s">
        <v>45</v>
      </c>
      <c r="D622" s="1">
        <v>7824</v>
      </c>
      <c r="E622" s="1">
        <v>290326</v>
      </c>
      <c r="F622" s="2">
        <v>81228</v>
      </c>
    </row>
    <row r="623" spans="1:6" x14ac:dyDescent="0.25">
      <c r="A623">
        <v>2019</v>
      </c>
      <c r="B623" t="s">
        <v>52</v>
      </c>
      <c r="C623" t="s">
        <v>46</v>
      </c>
      <c r="D623" s="1">
        <v>1251</v>
      </c>
      <c r="E623" s="1">
        <v>46979</v>
      </c>
      <c r="F623" s="2">
        <v>61074</v>
      </c>
    </row>
    <row r="624" spans="1:6" x14ac:dyDescent="0.25">
      <c r="A624">
        <v>2019</v>
      </c>
      <c r="B624" t="s">
        <v>52</v>
      </c>
      <c r="C624" t="s">
        <v>47</v>
      </c>
      <c r="D624" s="1">
        <v>9333</v>
      </c>
      <c r="E624" s="1">
        <v>483196</v>
      </c>
      <c r="F624" s="2">
        <v>59083</v>
      </c>
    </row>
    <row r="625" spans="1:6" x14ac:dyDescent="0.25">
      <c r="A625">
        <v>2019</v>
      </c>
      <c r="B625" t="s">
        <v>52</v>
      </c>
      <c r="C625" t="s">
        <v>48</v>
      </c>
      <c r="D625">
        <v>615</v>
      </c>
      <c r="E625" s="1">
        <v>10043</v>
      </c>
      <c r="F625" s="2">
        <v>68738</v>
      </c>
    </row>
    <row r="626" spans="1:6" x14ac:dyDescent="0.25">
      <c r="A626">
        <v>2019</v>
      </c>
      <c r="B626" t="s">
        <v>54</v>
      </c>
      <c r="C626" t="s">
        <v>1</v>
      </c>
      <c r="D626" s="1">
        <v>32423</v>
      </c>
      <c r="E626" s="1">
        <v>380193</v>
      </c>
      <c r="F626" s="2">
        <v>43426</v>
      </c>
    </row>
    <row r="627" spans="1:6" x14ac:dyDescent="0.25">
      <c r="A627">
        <v>2019</v>
      </c>
      <c r="B627" t="s">
        <v>54</v>
      </c>
      <c r="C627" t="s">
        <v>2</v>
      </c>
      <c r="D627" s="1">
        <v>33190</v>
      </c>
      <c r="E627" s="1">
        <v>541793</v>
      </c>
      <c r="F627" s="2">
        <v>48023</v>
      </c>
    </row>
    <row r="628" spans="1:6" x14ac:dyDescent="0.25">
      <c r="A628">
        <v>2019</v>
      </c>
      <c r="B628" t="s">
        <v>54</v>
      </c>
      <c r="C628" t="s">
        <v>3</v>
      </c>
      <c r="D628" s="1">
        <v>21821</v>
      </c>
      <c r="E628" s="1">
        <v>248631</v>
      </c>
      <c r="F628" s="2">
        <v>42897</v>
      </c>
    </row>
    <row r="629" spans="1:6" x14ac:dyDescent="0.25">
      <c r="A629">
        <v>2019</v>
      </c>
      <c r="B629" t="s">
        <v>54</v>
      </c>
      <c r="C629" t="s">
        <v>4</v>
      </c>
      <c r="D629" s="1">
        <v>198955</v>
      </c>
      <c r="E629" s="1">
        <v>3042089</v>
      </c>
      <c r="F629" s="2">
        <v>54908</v>
      </c>
    </row>
    <row r="630" spans="1:6" x14ac:dyDescent="0.25">
      <c r="A630">
        <v>2019</v>
      </c>
      <c r="B630" t="s">
        <v>54</v>
      </c>
      <c r="C630" t="s">
        <v>5</v>
      </c>
      <c r="D630" s="1">
        <v>36041</v>
      </c>
      <c r="E630" s="1">
        <v>474011</v>
      </c>
      <c r="F630" s="2">
        <v>52675</v>
      </c>
    </row>
    <row r="631" spans="1:6" x14ac:dyDescent="0.25">
      <c r="A631">
        <v>2019</v>
      </c>
      <c r="B631" t="s">
        <v>54</v>
      </c>
      <c r="C631" t="s">
        <v>6</v>
      </c>
      <c r="D631" s="1">
        <v>24868</v>
      </c>
      <c r="E631" s="1">
        <v>291966</v>
      </c>
      <c r="F631" s="2">
        <v>52540</v>
      </c>
    </row>
    <row r="632" spans="1:6" x14ac:dyDescent="0.25">
      <c r="A632">
        <v>2019</v>
      </c>
      <c r="B632" t="s">
        <v>54</v>
      </c>
      <c r="C632" t="s">
        <v>7</v>
      </c>
      <c r="D632" s="1">
        <v>7005</v>
      </c>
      <c r="E632" s="1">
        <v>79487</v>
      </c>
      <c r="F632" s="2">
        <v>42440</v>
      </c>
    </row>
    <row r="633" spans="1:6" x14ac:dyDescent="0.25">
      <c r="A633">
        <v>2019</v>
      </c>
      <c r="B633" t="s">
        <v>54</v>
      </c>
      <c r="C633" t="s">
        <v>8</v>
      </c>
      <c r="D633" s="1">
        <v>140278</v>
      </c>
      <c r="E633" s="1">
        <v>1799930</v>
      </c>
      <c r="F633" s="2">
        <v>46232</v>
      </c>
    </row>
    <row r="634" spans="1:6" x14ac:dyDescent="0.25">
      <c r="A634">
        <v>2019</v>
      </c>
      <c r="B634" t="s">
        <v>54</v>
      </c>
      <c r="C634" t="s">
        <v>9</v>
      </c>
      <c r="D634" s="1">
        <v>61774</v>
      </c>
      <c r="E634" s="1">
        <v>938063</v>
      </c>
      <c r="F634" s="2">
        <v>49817</v>
      </c>
    </row>
    <row r="635" spans="1:6" x14ac:dyDescent="0.25">
      <c r="A635">
        <v>2019</v>
      </c>
      <c r="B635" t="s">
        <v>54</v>
      </c>
      <c r="C635" t="s">
        <v>10</v>
      </c>
      <c r="D635" s="1">
        <v>11892</v>
      </c>
      <c r="E635" s="1">
        <v>142186</v>
      </c>
      <c r="F635" s="2">
        <v>41533</v>
      </c>
    </row>
    <row r="636" spans="1:6" x14ac:dyDescent="0.25">
      <c r="A636">
        <v>2019</v>
      </c>
      <c r="B636" t="s">
        <v>54</v>
      </c>
      <c r="C636" t="s">
        <v>11</v>
      </c>
      <c r="D636" s="1">
        <v>78822</v>
      </c>
      <c r="E636" s="1">
        <v>1187941</v>
      </c>
      <c r="F636" s="2">
        <v>53573</v>
      </c>
    </row>
    <row r="637" spans="1:6" x14ac:dyDescent="0.25">
      <c r="A637">
        <v>2019</v>
      </c>
      <c r="B637" t="s">
        <v>54</v>
      </c>
      <c r="C637" t="s">
        <v>12</v>
      </c>
      <c r="D637" s="1">
        <v>40283</v>
      </c>
      <c r="E637" s="1">
        <v>594348</v>
      </c>
      <c r="F637" s="2">
        <v>43345</v>
      </c>
    </row>
    <row r="638" spans="1:6" x14ac:dyDescent="0.25">
      <c r="A638">
        <v>2019</v>
      </c>
      <c r="B638" t="s">
        <v>54</v>
      </c>
      <c r="C638" t="s">
        <v>13</v>
      </c>
      <c r="D638" s="1">
        <v>23557</v>
      </c>
      <c r="E638" s="1">
        <v>307822</v>
      </c>
      <c r="F638" s="2">
        <v>41407</v>
      </c>
    </row>
    <row r="639" spans="1:6" x14ac:dyDescent="0.25">
      <c r="A639">
        <v>2019</v>
      </c>
      <c r="B639" t="s">
        <v>54</v>
      </c>
      <c r="C639" t="s">
        <v>14</v>
      </c>
      <c r="D639" s="1">
        <v>19844</v>
      </c>
      <c r="E639" s="1">
        <v>262383</v>
      </c>
      <c r="F639" s="2">
        <v>43539</v>
      </c>
    </row>
    <row r="640" spans="1:6" x14ac:dyDescent="0.25">
      <c r="A640">
        <v>2019</v>
      </c>
      <c r="B640" t="s">
        <v>54</v>
      </c>
      <c r="C640" t="s">
        <v>15</v>
      </c>
      <c r="D640" s="1">
        <v>27892</v>
      </c>
      <c r="E640" s="1">
        <v>401804</v>
      </c>
      <c r="F640" s="2">
        <v>44163</v>
      </c>
    </row>
    <row r="641" spans="1:6" x14ac:dyDescent="0.25">
      <c r="A641">
        <v>2019</v>
      </c>
      <c r="B641" t="s">
        <v>54</v>
      </c>
      <c r="C641" t="s">
        <v>16</v>
      </c>
      <c r="D641" s="1">
        <v>30876</v>
      </c>
      <c r="E641" s="1">
        <v>376026</v>
      </c>
      <c r="F641" s="2">
        <v>43579</v>
      </c>
    </row>
    <row r="642" spans="1:6" x14ac:dyDescent="0.25">
      <c r="A642">
        <v>2019</v>
      </c>
      <c r="B642" t="s">
        <v>54</v>
      </c>
      <c r="C642" t="s">
        <v>17</v>
      </c>
      <c r="D642" s="1">
        <v>10676</v>
      </c>
      <c r="E642" s="1">
        <v>117746</v>
      </c>
      <c r="F642" s="2">
        <v>39115</v>
      </c>
    </row>
    <row r="643" spans="1:6" x14ac:dyDescent="0.25">
      <c r="A643">
        <v>2019</v>
      </c>
      <c r="B643" t="s">
        <v>54</v>
      </c>
      <c r="C643" t="s">
        <v>18</v>
      </c>
      <c r="D643" s="1">
        <v>32640</v>
      </c>
      <c r="E643" s="1">
        <v>463647</v>
      </c>
      <c r="F643" s="2">
        <v>47503</v>
      </c>
    </row>
    <row r="644" spans="1:6" x14ac:dyDescent="0.25">
      <c r="A644">
        <v>2019</v>
      </c>
      <c r="B644" t="s">
        <v>54</v>
      </c>
      <c r="C644" t="s">
        <v>19</v>
      </c>
      <c r="D644" s="1">
        <v>41620</v>
      </c>
      <c r="E644" s="1">
        <v>577282</v>
      </c>
      <c r="F644" s="2">
        <v>55423</v>
      </c>
    </row>
    <row r="645" spans="1:6" x14ac:dyDescent="0.25">
      <c r="A645">
        <v>2019</v>
      </c>
      <c r="B645" t="s">
        <v>54</v>
      </c>
      <c r="C645" t="s">
        <v>20</v>
      </c>
      <c r="D645" s="1">
        <v>55150</v>
      </c>
      <c r="E645" s="1">
        <v>791177</v>
      </c>
      <c r="F645" s="2">
        <v>48357</v>
      </c>
    </row>
    <row r="646" spans="1:6" x14ac:dyDescent="0.25">
      <c r="A646">
        <v>2019</v>
      </c>
      <c r="B646" t="s">
        <v>54</v>
      </c>
      <c r="C646" t="s">
        <v>21</v>
      </c>
      <c r="D646" s="1">
        <v>37323</v>
      </c>
      <c r="E646" s="1">
        <v>525857</v>
      </c>
      <c r="F646" s="2">
        <v>50523</v>
      </c>
    </row>
    <row r="647" spans="1:6" x14ac:dyDescent="0.25">
      <c r="A647">
        <v>2019</v>
      </c>
      <c r="B647" t="s">
        <v>54</v>
      </c>
      <c r="C647" t="s">
        <v>22</v>
      </c>
      <c r="D647" s="1">
        <v>19568</v>
      </c>
      <c r="E647" s="1">
        <v>229039</v>
      </c>
      <c r="F647" s="2">
        <v>37621</v>
      </c>
    </row>
    <row r="648" spans="1:6" x14ac:dyDescent="0.25">
      <c r="A648">
        <v>2019</v>
      </c>
      <c r="B648" t="s">
        <v>54</v>
      </c>
      <c r="C648" t="s">
        <v>23</v>
      </c>
      <c r="D648" s="1">
        <v>39400</v>
      </c>
      <c r="E648" s="1">
        <v>536753</v>
      </c>
      <c r="F648" s="2">
        <v>43646</v>
      </c>
    </row>
    <row r="649" spans="1:6" x14ac:dyDescent="0.25">
      <c r="A649">
        <v>2019</v>
      </c>
      <c r="B649" t="s">
        <v>54</v>
      </c>
      <c r="C649" t="s">
        <v>24</v>
      </c>
      <c r="D649" s="1">
        <v>9112</v>
      </c>
      <c r="E649" s="1">
        <v>90946</v>
      </c>
      <c r="F649" s="2">
        <v>40937</v>
      </c>
    </row>
    <row r="650" spans="1:6" x14ac:dyDescent="0.25">
      <c r="A650">
        <v>2019</v>
      </c>
      <c r="B650" t="s">
        <v>54</v>
      </c>
      <c r="C650" t="s">
        <v>25</v>
      </c>
      <c r="D650" s="1">
        <v>14969</v>
      </c>
      <c r="E650" s="1">
        <v>188094</v>
      </c>
      <c r="F650" s="2">
        <v>41557</v>
      </c>
    </row>
    <row r="651" spans="1:6" x14ac:dyDescent="0.25">
      <c r="A651">
        <v>2019</v>
      </c>
      <c r="B651" t="s">
        <v>54</v>
      </c>
      <c r="C651" t="s">
        <v>26</v>
      </c>
      <c r="D651" s="1">
        <v>15866</v>
      </c>
      <c r="E651" s="1">
        <v>261018</v>
      </c>
      <c r="F651" s="2">
        <v>45452</v>
      </c>
    </row>
    <row r="652" spans="1:6" x14ac:dyDescent="0.25">
      <c r="A652">
        <v>2019</v>
      </c>
      <c r="B652" t="s">
        <v>54</v>
      </c>
      <c r="C652" t="s">
        <v>27</v>
      </c>
      <c r="D652" s="1">
        <v>12448</v>
      </c>
      <c r="E652" s="1">
        <v>139278</v>
      </c>
      <c r="F652" s="2">
        <v>49409</v>
      </c>
    </row>
    <row r="653" spans="1:6" x14ac:dyDescent="0.25">
      <c r="A653">
        <v>2019</v>
      </c>
      <c r="B653" t="s">
        <v>54</v>
      </c>
      <c r="C653" t="s">
        <v>28</v>
      </c>
      <c r="D653" s="1">
        <v>54227</v>
      </c>
      <c r="E653" s="1">
        <v>876452</v>
      </c>
      <c r="F653" s="2">
        <v>55204</v>
      </c>
    </row>
    <row r="654" spans="1:6" x14ac:dyDescent="0.25">
      <c r="A654">
        <v>2019</v>
      </c>
      <c r="B654" t="s">
        <v>54</v>
      </c>
      <c r="C654" t="s">
        <v>29</v>
      </c>
      <c r="D654" s="1">
        <v>10974</v>
      </c>
      <c r="E654" s="1">
        <v>135131</v>
      </c>
      <c r="F654" s="2">
        <v>39275</v>
      </c>
    </row>
    <row r="655" spans="1:6" x14ac:dyDescent="0.25">
      <c r="A655">
        <v>2019</v>
      </c>
      <c r="B655" t="s">
        <v>54</v>
      </c>
      <c r="C655" t="s">
        <v>30</v>
      </c>
      <c r="D655" s="1">
        <v>120950</v>
      </c>
      <c r="E655" s="1">
        <v>1543991</v>
      </c>
      <c r="F655" s="2">
        <v>53710</v>
      </c>
    </row>
    <row r="656" spans="1:6" x14ac:dyDescent="0.25">
      <c r="A656">
        <v>2019</v>
      </c>
      <c r="B656" t="s">
        <v>54</v>
      </c>
      <c r="C656" t="s">
        <v>31</v>
      </c>
      <c r="D656" s="1">
        <v>62397</v>
      </c>
      <c r="E656" s="1">
        <v>846177</v>
      </c>
      <c r="F656" s="2">
        <v>44579</v>
      </c>
    </row>
    <row r="657" spans="1:6" x14ac:dyDescent="0.25">
      <c r="A657">
        <v>2019</v>
      </c>
      <c r="B657" t="s">
        <v>54</v>
      </c>
      <c r="C657" t="s">
        <v>32</v>
      </c>
      <c r="D657" s="1">
        <v>7738</v>
      </c>
      <c r="E657" s="1">
        <v>91333</v>
      </c>
      <c r="F657" s="2">
        <v>51925</v>
      </c>
    </row>
    <row r="658" spans="1:6" x14ac:dyDescent="0.25">
      <c r="A658">
        <v>2019</v>
      </c>
      <c r="B658" t="s">
        <v>54</v>
      </c>
      <c r="C658" t="s">
        <v>33</v>
      </c>
      <c r="D658" s="1">
        <v>68958</v>
      </c>
      <c r="E658" s="1">
        <v>1021890</v>
      </c>
      <c r="F658" s="2">
        <v>45569</v>
      </c>
    </row>
    <row r="659" spans="1:6" x14ac:dyDescent="0.25">
      <c r="A659">
        <v>2019</v>
      </c>
      <c r="B659" t="s">
        <v>54</v>
      </c>
      <c r="C659" t="s">
        <v>34</v>
      </c>
      <c r="D659" s="1">
        <v>23883</v>
      </c>
      <c r="E659" s="1">
        <v>300268</v>
      </c>
      <c r="F659" s="2">
        <v>43049</v>
      </c>
    </row>
    <row r="660" spans="1:6" x14ac:dyDescent="0.25">
      <c r="A660">
        <v>2019</v>
      </c>
      <c r="B660" t="s">
        <v>54</v>
      </c>
      <c r="C660" t="s">
        <v>35</v>
      </c>
      <c r="D660" s="1">
        <v>26460</v>
      </c>
      <c r="E660" s="1">
        <v>354168</v>
      </c>
      <c r="F660" s="2">
        <v>45879</v>
      </c>
    </row>
    <row r="661" spans="1:6" x14ac:dyDescent="0.25">
      <c r="A661">
        <v>2019</v>
      </c>
      <c r="B661" t="s">
        <v>54</v>
      </c>
      <c r="C661" t="s">
        <v>36</v>
      </c>
      <c r="D661" s="1">
        <v>74684</v>
      </c>
      <c r="E661" s="1">
        <v>1117033</v>
      </c>
      <c r="F661" s="2">
        <v>46296</v>
      </c>
    </row>
    <row r="662" spans="1:6" x14ac:dyDescent="0.25">
      <c r="A662">
        <v>2019</v>
      </c>
      <c r="B662" t="s">
        <v>54</v>
      </c>
      <c r="C662" t="s">
        <v>37</v>
      </c>
      <c r="D662" s="1">
        <v>7648</v>
      </c>
      <c r="E662" s="1">
        <v>76672</v>
      </c>
      <c r="F662" s="2">
        <v>45232</v>
      </c>
    </row>
    <row r="663" spans="1:6" x14ac:dyDescent="0.25">
      <c r="A663">
        <v>2019</v>
      </c>
      <c r="B663" t="s">
        <v>54</v>
      </c>
      <c r="C663" t="s">
        <v>38</v>
      </c>
      <c r="D663" s="1">
        <v>31073</v>
      </c>
      <c r="E663" s="1">
        <v>406455</v>
      </c>
      <c r="F663" s="2">
        <v>41048</v>
      </c>
    </row>
    <row r="664" spans="1:6" x14ac:dyDescent="0.25">
      <c r="A664">
        <v>2019</v>
      </c>
      <c r="B664" t="s">
        <v>54</v>
      </c>
      <c r="C664" t="s">
        <v>39</v>
      </c>
      <c r="D664" s="1">
        <v>8027</v>
      </c>
      <c r="E664" s="1">
        <v>85125</v>
      </c>
      <c r="F664" s="2">
        <v>40980</v>
      </c>
    </row>
    <row r="665" spans="1:6" x14ac:dyDescent="0.25">
      <c r="A665">
        <v>2019</v>
      </c>
      <c r="B665" t="s">
        <v>54</v>
      </c>
      <c r="C665" t="s">
        <v>40</v>
      </c>
      <c r="D665" s="1">
        <v>40380</v>
      </c>
      <c r="E665" s="1">
        <v>633819</v>
      </c>
      <c r="F665" s="2">
        <v>46991</v>
      </c>
    </row>
    <row r="666" spans="1:6" x14ac:dyDescent="0.25">
      <c r="A666">
        <v>2019</v>
      </c>
      <c r="B666" t="s">
        <v>54</v>
      </c>
      <c r="C666" t="s">
        <v>41</v>
      </c>
      <c r="D666" s="1">
        <v>150310</v>
      </c>
      <c r="E666" s="1">
        <v>2496193</v>
      </c>
      <c r="F666" s="2">
        <v>54323</v>
      </c>
    </row>
    <row r="667" spans="1:6" x14ac:dyDescent="0.25">
      <c r="A667">
        <v>2019</v>
      </c>
      <c r="B667" t="s">
        <v>54</v>
      </c>
      <c r="C667" t="s">
        <v>42</v>
      </c>
      <c r="D667" s="1">
        <v>20066</v>
      </c>
      <c r="E667" s="1">
        <v>289140</v>
      </c>
      <c r="F667" s="2">
        <v>45785</v>
      </c>
    </row>
    <row r="668" spans="1:6" x14ac:dyDescent="0.25">
      <c r="A668">
        <v>2019</v>
      </c>
      <c r="B668" t="s">
        <v>54</v>
      </c>
      <c r="C668" t="s">
        <v>43</v>
      </c>
      <c r="D668" s="1">
        <v>5040</v>
      </c>
      <c r="E668" s="1">
        <v>53817</v>
      </c>
      <c r="F668" s="2">
        <v>41456</v>
      </c>
    </row>
    <row r="669" spans="1:6" x14ac:dyDescent="0.25">
      <c r="A669">
        <v>2019</v>
      </c>
      <c r="B669" t="s">
        <v>54</v>
      </c>
      <c r="C669" t="s">
        <v>44</v>
      </c>
      <c r="D669" s="1">
        <v>42839</v>
      </c>
      <c r="E669" s="1">
        <v>650148</v>
      </c>
      <c r="F669" s="2">
        <v>45486</v>
      </c>
    </row>
    <row r="670" spans="1:6" x14ac:dyDescent="0.25">
      <c r="A670">
        <v>2019</v>
      </c>
      <c r="B670" t="s">
        <v>54</v>
      </c>
      <c r="C670" t="s">
        <v>45</v>
      </c>
      <c r="D670" s="1">
        <v>38692</v>
      </c>
      <c r="E670" s="1">
        <v>628543</v>
      </c>
      <c r="F670" s="2">
        <v>67312</v>
      </c>
    </row>
    <row r="671" spans="1:6" x14ac:dyDescent="0.25">
      <c r="A671">
        <v>2019</v>
      </c>
      <c r="B671" t="s">
        <v>54</v>
      </c>
      <c r="C671" t="s">
        <v>46</v>
      </c>
      <c r="D671" s="1">
        <v>10709</v>
      </c>
      <c r="E671" s="1">
        <v>125470</v>
      </c>
      <c r="F671" s="2">
        <v>40148</v>
      </c>
    </row>
    <row r="672" spans="1:6" x14ac:dyDescent="0.25">
      <c r="A672">
        <v>2019</v>
      </c>
      <c r="B672" t="s">
        <v>54</v>
      </c>
      <c r="C672" t="s">
        <v>47</v>
      </c>
      <c r="D672" s="1">
        <v>36253</v>
      </c>
      <c r="E672" s="1">
        <v>533175</v>
      </c>
      <c r="F672" s="2">
        <v>42647</v>
      </c>
    </row>
    <row r="673" spans="1:6" x14ac:dyDescent="0.25">
      <c r="A673">
        <v>2019</v>
      </c>
      <c r="B673" t="s">
        <v>54</v>
      </c>
      <c r="C673" t="s">
        <v>48</v>
      </c>
      <c r="D673" s="1">
        <v>4819</v>
      </c>
      <c r="E673" s="1">
        <v>49901</v>
      </c>
      <c r="F673" s="2">
        <v>44408</v>
      </c>
    </row>
    <row r="674" spans="1:6" x14ac:dyDescent="0.25">
      <c r="A674">
        <v>2019</v>
      </c>
      <c r="B674" t="s">
        <v>53</v>
      </c>
      <c r="C674" t="s">
        <v>1</v>
      </c>
      <c r="D674" s="1">
        <v>2309</v>
      </c>
      <c r="E674" s="1">
        <v>21296</v>
      </c>
      <c r="F674" s="2">
        <v>62845</v>
      </c>
    </row>
    <row r="675" spans="1:6" x14ac:dyDescent="0.25">
      <c r="A675">
        <v>2019</v>
      </c>
      <c r="B675" t="s">
        <v>53</v>
      </c>
      <c r="C675" t="s">
        <v>2</v>
      </c>
      <c r="D675" s="1">
        <v>3691</v>
      </c>
      <c r="E675" s="1">
        <v>49188</v>
      </c>
      <c r="F675" s="2">
        <v>77822</v>
      </c>
    </row>
    <row r="676" spans="1:6" x14ac:dyDescent="0.25">
      <c r="A676">
        <v>2019</v>
      </c>
      <c r="B676" t="s">
        <v>53</v>
      </c>
      <c r="C676" t="s">
        <v>3</v>
      </c>
      <c r="D676" s="1">
        <v>1303</v>
      </c>
      <c r="E676" s="1">
        <v>10974</v>
      </c>
      <c r="F676" s="2">
        <v>57981</v>
      </c>
    </row>
    <row r="677" spans="1:6" x14ac:dyDescent="0.25">
      <c r="A677">
        <v>2019</v>
      </c>
      <c r="B677" t="s">
        <v>53</v>
      </c>
      <c r="C677" t="s">
        <v>4</v>
      </c>
      <c r="D677" s="1">
        <v>28529</v>
      </c>
      <c r="E677" s="1">
        <v>550084</v>
      </c>
      <c r="F677" s="2">
        <v>191278</v>
      </c>
    </row>
    <row r="678" spans="1:6" x14ac:dyDescent="0.25">
      <c r="A678">
        <v>2019</v>
      </c>
      <c r="B678" t="s">
        <v>53</v>
      </c>
      <c r="C678" t="s">
        <v>5</v>
      </c>
      <c r="D678" s="1">
        <v>4330</v>
      </c>
      <c r="E678" s="1">
        <v>76292</v>
      </c>
      <c r="F678" s="2">
        <v>109380</v>
      </c>
    </row>
    <row r="679" spans="1:6" x14ac:dyDescent="0.25">
      <c r="A679">
        <v>2019</v>
      </c>
      <c r="B679" t="s">
        <v>53</v>
      </c>
      <c r="C679" t="s">
        <v>6</v>
      </c>
      <c r="D679" s="1">
        <v>2551</v>
      </c>
      <c r="E679" s="1">
        <v>31469</v>
      </c>
      <c r="F679" s="2">
        <v>120406</v>
      </c>
    </row>
    <row r="680" spans="1:6" x14ac:dyDescent="0.25">
      <c r="A680">
        <v>2019</v>
      </c>
      <c r="B680" t="s">
        <v>53</v>
      </c>
      <c r="C680" t="s">
        <v>7</v>
      </c>
      <c r="D680">
        <v>497</v>
      </c>
      <c r="E680" s="1">
        <v>3905</v>
      </c>
      <c r="F680" s="2">
        <v>70031</v>
      </c>
    </row>
    <row r="681" spans="1:6" x14ac:dyDescent="0.25">
      <c r="A681">
        <v>2019</v>
      </c>
      <c r="B681" t="s">
        <v>53</v>
      </c>
      <c r="C681" t="s">
        <v>8</v>
      </c>
      <c r="D681" s="1">
        <v>11744</v>
      </c>
      <c r="E681" s="1">
        <v>138845</v>
      </c>
      <c r="F681" s="2">
        <v>86153</v>
      </c>
    </row>
    <row r="682" spans="1:6" x14ac:dyDescent="0.25">
      <c r="A682">
        <v>2019</v>
      </c>
      <c r="B682" t="s">
        <v>53</v>
      </c>
      <c r="C682" t="s">
        <v>9</v>
      </c>
      <c r="D682" s="1">
        <v>5380</v>
      </c>
      <c r="E682" s="1">
        <v>116215</v>
      </c>
      <c r="F682" s="2">
        <v>100462</v>
      </c>
    </row>
    <row r="683" spans="1:6" x14ac:dyDescent="0.25">
      <c r="A683">
        <v>2019</v>
      </c>
      <c r="B683" t="s">
        <v>53</v>
      </c>
      <c r="C683" t="s">
        <v>10</v>
      </c>
      <c r="D683" s="1">
        <v>1231</v>
      </c>
      <c r="E683" s="1">
        <v>8802</v>
      </c>
      <c r="F683" s="2">
        <v>56211</v>
      </c>
    </row>
    <row r="684" spans="1:6" x14ac:dyDescent="0.25">
      <c r="A684">
        <v>2019</v>
      </c>
      <c r="B684" t="s">
        <v>53</v>
      </c>
      <c r="C684" t="s">
        <v>11</v>
      </c>
      <c r="D684" s="1">
        <v>6998</v>
      </c>
      <c r="E684" s="1">
        <v>94879</v>
      </c>
      <c r="F684" s="2">
        <v>96732</v>
      </c>
    </row>
    <row r="685" spans="1:6" x14ac:dyDescent="0.25">
      <c r="A685">
        <v>2019</v>
      </c>
      <c r="B685" t="s">
        <v>53</v>
      </c>
      <c r="C685" t="s">
        <v>12</v>
      </c>
      <c r="D685" s="1">
        <v>2278</v>
      </c>
      <c r="E685" s="1">
        <v>28628</v>
      </c>
      <c r="F685" s="2">
        <v>62444</v>
      </c>
    </row>
    <row r="686" spans="1:6" x14ac:dyDescent="0.25">
      <c r="A686">
        <v>2019</v>
      </c>
      <c r="B686" t="s">
        <v>53</v>
      </c>
      <c r="C686" t="s">
        <v>13</v>
      </c>
      <c r="D686" s="1">
        <v>1778</v>
      </c>
      <c r="E686" s="1">
        <v>21356</v>
      </c>
      <c r="F686" s="2">
        <v>60664</v>
      </c>
    </row>
    <row r="687" spans="1:6" x14ac:dyDescent="0.25">
      <c r="A687">
        <v>2019</v>
      </c>
      <c r="B687" t="s">
        <v>53</v>
      </c>
      <c r="C687" t="s">
        <v>14</v>
      </c>
      <c r="D687" s="1">
        <v>1386</v>
      </c>
      <c r="E687" s="1">
        <v>18137</v>
      </c>
      <c r="F687" s="2">
        <v>66434</v>
      </c>
    </row>
    <row r="688" spans="1:6" x14ac:dyDescent="0.25">
      <c r="A688">
        <v>2019</v>
      </c>
      <c r="B688" t="s">
        <v>53</v>
      </c>
      <c r="C688" t="s">
        <v>15</v>
      </c>
      <c r="D688" s="1">
        <v>1924</v>
      </c>
      <c r="E688" s="1">
        <v>21670</v>
      </c>
      <c r="F688" s="2">
        <v>58590</v>
      </c>
    </row>
    <row r="689" spans="1:6" x14ac:dyDescent="0.25">
      <c r="A689">
        <v>2019</v>
      </c>
      <c r="B689" t="s">
        <v>53</v>
      </c>
      <c r="C689" t="s">
        <v>16</v>
      </c>
      <c r="D689" s="1">
        <v>1801</v>
      </c>
      <c r="E689" s="1">
        <v>22427</v>
      </c>
      <c r="F689" s="2">
        <v>60638</v>
      </c>
    </row>
    <row r="690" spans="1:6" x14ac:dyDescent="0.25">
      <c r="A690">
        <v>2019</v>
      </c>
      <c r="B690" t="s">
        <v>53</v>
      </c>
      <c r="C690" t="s">
        <v>17</v>
      </c>
      <c r="D690">
        <v>869</v>
      </c>
      <c r="E690" s="1">
        <v>7158</v>
      </c>
      <c r="F690" s="2">
        <v>57442</v>
      </c>
    </row>
    <row r="691" spans="1:6" x14ac:dyDescent="0.25">
      <c r="A691">
        <v>2019</v>
      </c>
      <c r="B691" t="s">
        <v>53</v>
      </c>
      <c r="C691" t="s">
        <v>18</v>
      </c>
      <c r="D691" s="1">
        <v>2846</v>
      </c>
      <c r="E691" s="1">
        <v>35678</v>
      </c>
      <c r="F691" s="2">
        <v>98834</v>
      </c>
    </row>
    <row r="692" spans="1:6" x14ac:dyDescent="0.25">
      <c r="A692">
        <v>2019</v>
      </c>
      <c r="B692" t="s">
        <v>53</v>
      </c>
      <c r="C692" t="s">
        <v>19</v>
      </c>
      <c r="D692" s="1">
        <v>5717</v>
      </c>
      <c r="E692" s="1">
        <v>93033</v>
      </c>
      <c r="F692" s="2">
        <v>128022</v>
      </c>
    </row>
    <row r="693" spans="1:6" x14ac:dyDescent="0.25">
      <c r="A693">
        <v>2019</v>
      </c>
      <c r="B693" t="s">
        <v>53</v>
      </c>
      <c r="C693" t="s">
        <v>20</v>
      </c>
      <c r="D693" s="1">
        <v>7146</v>
      </c>
      <c r="E693" s="1">
        <v>55298</v>
      </c>
      <c r="F693" s="2">
        <v>77504</v>
      </c>
    </row>
    <row r="694" spans="1:6" x14ac:dyDescent="0.25">
      <c r="A694">
        <v>2019</v>
      </c>
      <c r="B694" t="s">
        <v>53</v>
      </c>
      <c r="C694" t="s">
        <v>21</v>
      </c>
      <c r="D694" s="1">
        <v>4133</v>
      </c>
      <c r="E694" s="1">
        <v>46906</v>
      </c>
      <c r="F694" s="2">
        <v>83846</v>
      </c>
    </row>
    <row r="695" spans="1:6" x14ac:dyDescent="0.25">
      <c r="A695">
        <v>2019</v>
      </c>
      <c r="B695" t="s">
        <v>53</v>
      </c>
      <c r="C695" t="s">
        <v>22</v>
      </c>
      <c r="D695">
        <v>944</v>
      </c>
      <c r="E695" s="1">
        <v>10695</v>
      </c>
      <c r="F695" s="2">
        <v>49438</v>
      </c>
    </row>
    <row r="696" spans="1:6" x14ac:dyDescent="0.25">
      <c r="A696">
        <v>2019</v>
      </c>
      <c r="B696" t="s">
        <v>53</v>
      </c>
      <c r="C696" t="s">
        <v>23</v>
      </c>
      <c r="D696" s="1">
        <v>3310</v>
      </c>
      <c r="E696" s="1">
        <v>46729</v>
      </c>
      <c r="F696" s="2">
        <v>85960</v>
      </c>
    </row>
    <row r="697" spans="1:6" x14ac:dyDescent="0.25">
      <c r="A697">
        <v>2019</v>
      </c>
      <c r="B697" t="s">
        <v>53</v>
      </c>
      <c r="C697" t="s">
        <v>24</v>
      </c>
      <c r="D697">
        <v>799</v>
      </c>
      <c r="E697" s="1">
        <v>6210</v>
      </c>
      <c r="F697" s="2">
        <v>56592</v>
      </c>
    </row>
    <row r="698" spans="1:6" x14ac:dyDescent="0.25">
      <c r="A698">
        <v>2019</v>
      </c>
      <c r="B698" t="s">
        <v>53</v>
      </c>
      <c r="C698" t="s">
        <v>25</v>
      </c>
      <c r="D698" s="1">
        <v>1015</v>
      </c>
      <c r="E698" s="1">
        <v>17258</v>
      </c>
      <c r="F698" s="2">
        <v>66732</v>
      </c>
    </row>
    <row r="699" spans="1:6" x14ac:dyDescent="0.25">
      <c r="A699">
        <v>2019</v>
      </c>
      <c r="B699" t="s">
        <v>53</v>
      </c>
      <c r="C699" t="s">
        <v>26</v>
      </c>
      <c r="D699" s="1">
        <v>1664</v>
      </c>
      <c r="E699" s="1">
        <v>15847</v>
      </c>
      <c r="F699" s="2">
        <v>73213</v>
      </c>
    </row>
    <row r="700" spans="1:6" x14ac:dyDescent="0.25">
      <c r="A700">
        <v>2019</v>
      </c>
      <c r="B700" t="s">
        <v>53</v>
      </c>
      <c r="C700" t="s">
        <v>27</v>
      </c>
      <c r="D700" s="1">
        <v>1037</v>
      </c>
      <c r="E700" s="1">
        <v>12334</v>
      </c>
      <c r="F700" s="2">
        <v>97212</v>
      </c>
    </row>
    <row r="701" spans="1:6" x14ac:dyDescent="0.25">
      <c r="A701">
        <v>2019</v>
      </c>
      <c r="B701" t="s">
        <v>53</v>
      </c>
      <c r="C701" t="s">
        <v>28</v>
      </c>
      <c r="D701" s="1">
        <v>3724</v>
      </c>
      <c r="E701" s="1">
        <v>67578</v>
      </c>
      <c r="F701" s="2">
        <v>117433</v>
      </c>
    </row>
    <row r="702" spans="1:6" x14ac:dyDescent="0.25">
      <c r="A702">
        <v>2019</v>
      </c>
      <c r="B702" t="s">
        <v>53</v>
      </c>
      <c r="C702" t="s">
        <v>29</v>
      </c>
      <c r="D702" s="1">
        <v>1074</v>
      </c>
      <c r="E702" s="1">
        <v>11166</v>
      </c>
      <c r="F702" s="2">
        <v>57554</v>
      </c>
    </row>
    <row r="703" spans="1:6" x14ac:dyDescent="0.25">
      <c r="A703">
        <v>2019</v>
      </c>
      <c r="B703" t="s">
        <v>53</v>
      </c>
      <c r="C703" t="s">
        <v>30</v>
      </c>
      <c r="D703" s="1">
        <v>12812</v>
      </c>
      <c r="E703" s="1">
        <v>277408</v>
      </c>
      <c r="F703" s="2">
        <v>135959</v>
      </c>
    </row>
    <row r="704" spans="1:6" x14ac:dyDescent="0.25">
      <c r="A704">
        <v>2019</v>
      </c>
      <c r="B704" t="s">
        <v>53</v>
      </c>
      <c r="C704" t="s">
        <v>31</v>
      </c>
      <c r="D704" s="1">
        <v>5669</v>
      </c>
      <c r="E704" s="1">
        <v>75919</v>
      </c>
      <c r="F704" s="2">
        <v>87039</v>
      </c>
    </row>
    <row r="705" spans="1:6" x14ac:dyDescent="0.25">
      <c r="A705">
        <v>2019</v>
      </c>
      <c r="B705" t="s">
        <v>53</v>
      </c>
      <c r="C705" t="s">
        <v>32</v>
      </c>
      <c r="D705">
        <v>402</v>
      </c>
      <c r="E705" s="1">
        <v>6093</v>
      </c>
      <c r="F705" s="2">
        <v>71543</v>
      </c>
    </row>
    <row r="706" spans="1:6" x14ac:dyDescent="0.25">
      <c r="A706">
        <v>2019</v>
      </c>
      <c r="B706" t="s">
        <v>53</v>
      </c>
      <c r="C706" t="s">
        <v>33</v>
      </c>
      <c r="D706" s="1">
        <v>4915</v>
      </c>
      <c r="E706" s="1">
        <v>69330</v>
      </c>
      <c r="F706" s="2">
        <v>72613</v>
      </c>
    </row>
    <row r="707" spans="1:6" x14ac:dyDescent="0.25">
      <c r="A707">
        <v>2019</v>
      </c>
      <c r="B707" t="s">
        <v>53</v>
      </c>
      <c r="C707" t="s">
        <v>34</v>
      </c>
      <c r="D707" s="1">
        <v>1550</v>
      </c>
      <c r="E707" s="1">
        <v>19627</v>
      </c>
      <c r="F707" s="2">
        <v>60407</v>
      </c>
    </row>
    <row r="708" spans="1:6" x14ac:dyDescent="0.25">
      <c r="A708">
        <v>2019</v>
      </c>
      <c r="B708" t="s">
        <v>53</v>
      </c>
      <c r="C708" t="s">
        <v>35</v>
      </c>
      <c r="D708" s="1">
        <v>4135</v>
      </c>
      <c r="E708" s="1">
        <v>35053</v>
      </c>
      <c r="F708" s="2">
        <v>89633</v>
      </c>
    </row>
    <row r="709" spans="1:6" x14ac:dyDescent="0.25">
      <c r="A709">
        <v>2019</v>
      </c>
      <c r="B709" t="s">
        <v>53</v>
      </c>
      <c r="C709" t="s">
        <v>36</v>
      </c>
      <c r="D709" s="1">
        <v>5348</v>
      </c>
      <c r="E709" s="1">
        <v>87043</v>
      </c>
      <c r="F709" s="2">
        <v>94900</v>
      </c>
    </row>
    <row r="710" spans="1:6" x14ac:dyDescent="0.25">
      <c r="A710">
        <v>2019</v>
      </c>
      <c r="B710" t="s">
        <v>53</v>
      </c>
      <c r="C710" t="s">
        <v>37</v>
      </c>
      <c r="D710">
        <v>714</v>
      </c>
      <c r="E710" s="1">
        <v>5878</v>
      </c>
      <c r="F710" s="2">
        <v>76409</v>
      </c>
    </row>
    <row r="711" spans="1:6" x14ac:dyDescent="0.25">
      <c r="A711">
        <v>2019</v>
      </c>
      <c r="B711" t="s">
        <v>53</v>
      </c>
      <c r="C711" t="s">
        <v>38</v>
      </c>
      <c r="D711" s="1">
        <v>2883</v>
      </c>
      <c r="E711" s="1">
        <v>26869</v>
      </c>
      <c r="F711" s="2">
        <v>66032</v>
      </c>
    </row>
    <row r="712" spans="1:6" x14ac:dyDescent="0.25">
      <c r="A712">
        <v>2019</v>
      </c>
      <c r="B712" t="s">
        <v>53</v>
      </c>
      <c r="C712" t="s">
        <v>39</v>
      </c>
      <c r="D712">
        <v>589</v>
      </c>
      <c r="E712" s="1">
        <v>5500</v>
      </c>
      <c r="F712" s="2">
        <v>51535</v>
      </c>
    </row>
    <row r="713" spans="1:6" x14ac:dyDescent="0.25">
      <c r="A713">
        <v>2019</v>
      </c>
      <c r="B713" t="s">
        <v>53</v>
      </c>
      <c r="C713" t="s">
        <v>40</v>
      </c>
      <c r="D713" s="1">
        <v>3981</v>
      </c>
      <c r="E713" s="1">
        <v>45042</v>
      </c>
      <c r="F713" s="2">
        <v>75375</v>
      </c>
    </row>
    <row r="714" spans="1:6" x14ac:dyDescent="0.25">
      <c r="A714">
        <v>2019</v>
      </c>
      <c r="B714" t="s">
        <v>53</v>
      </c>
      <c r="C714" t="s">
        <v>41</v>
      </c>
      <c r="D714" s="1">
        <v>10627</v>
      </c>
      <c r="E714" s="1">
        <v>208591</v>
      </c>
      <c r="F714" s="2">
        <v>90857</v>
      </c>
    </row>
    <row r="715" spans="1:6" x14ac:dyDescent="0.25">
      <c r="A715">
        <v>2019</v>
      </c>
      <c r="B715" t="s">
        <v>53</v>
      </c>
      <c r="C715" t="s">
        <v>42</v>
      </c>
      <c r="D715" s="1">
        <v>2776</v>
      </c>
      <c r="E715" s="1">
        <v>38323</v>
      </c>
      <c r="F715" s="2">
        <v>84735</v>
      </c>
    </row>
    <row r="716" spans="1:6" x14ac:dyDescent="0.25">
      <c r="A716">
        <v>2019</v>
      </c>
      <c r="B716" t="s">
        <v>53</v>
      </c>
      <c r="C716" t="s">
        <v>43</v>
      </c>
      <c r="D716">
        <v>527</v>
      </c>
      <c r="E716" s="1">
        <v>4322</v>
      </c>
      <c r="F716" s="2">
        <v>62861</v>
      </c>
    </row>
    <row r="717" spans="1:6" x14ac:dyDescent="0.25">
      <c r="A717">
        <v>2019</v>
      </c>
      <c r="B717" t="s">
        <v>53</v>
      </c>
      <c r="C717" t="s">
        <v>44</v>
      </c>
      <c r="D717" s="1">
        <v>4600</v>
      </c>
      <c r="E717" s="1">
        <v>67714</v>
      </c>
      <c r="F717" s="2">
        <v>107966</v>
      </c>
    </row>
    <row r="718" spans="1:6" x14ac:dyDescent="0.25">
      <c r="A718">
        <v>2019</v>
      </c>
      <c r="B718" t="s">
        <v>53</v>
      </c>
      <c r="C718" t="s">
        <v>45</v>
      </c>
      <c r="D718" s="1">
        <v>5007</v>
      </c>
      <c r="E718" s="1">
        <v>143883</v>
      </c>
      <c r="F718" s="2">
        <v>207135</v>
      </c>
    </row>
    <row r="719" spans="1:6" x14ac:dyDescent="0.25">
      <c r="A719">
        <v>2019</v>
      </c>
      <c r="B719" t="s">
        <v>53</v>
      </c>
      <c r="C719" t="s">
        <v>46</v>
      </c>
      <c r="D719">
        <v>818</v>
      </c>
      <c r="E719" s="1">
        <v>8072</v>
      </c>
      <c r="F719" s="2">
        <v>53281</v>
      </c>
    </row>
    <row r="720" spans="1:6" x14ac:dyDescent="0.25">
      <c r="A720">
        <v>2019</v>
      </c>
      <c r="B720" t="s">
        <v>53</v>
      </c>
      <c r="C720" t="s">
        <v>47</v>
      </c>
      <c r="D720" s="1">
        <v>2335</v>
      </c>
      <c r="E720" s="1">
        <v>46993</v>
      </c>
      <c r="F720" s="2">
        <v>82512</v>
      </c>
    </row>
    <row r="721" spans="1:6" x14ac:dyDescent="0.25">
      <c r="A721">
        <v>2019</v>
      </c>
      <c r="B721" t="s">
        <v>53</v>
      </c>
      <c r="C721" t="s">
        <v>48</v>
      </c>
      <c r="D721">
        <v>417</v>
      </c>
      <c r="E721" s="1">
        <v>3424</v>
      </c>
      <c r="F721" s="2">
        <v>49035</v>
      </c>
    </row>
    <row r="722" spans="1:6" x14ac:dyDescent="0.25">
      <c r="A722">
        <v>2019</v>
      </c>
      <c r="B722" t="s">
        <v>56</v>
      </c>
      <c r="C722" t="s">
        <v>1</v>
      </c>
      <c r="D722" s="1">
        <v>13590</v>
      </c>
      <c r="E722" s="1">
        <v>95053</v>
      </c>
      <c r="F722" s="2">
        <v>71076</v>
      </c>
    </row>
    <row r="723" spans="1:6" x14ac:dyDescent="0.25">
      <c r="A723">
        <v>2019</v>
      </c>
      <c r="B723" t="s">
        <v>56</v>
      </c>
      <c r="C723" t="s">
        <v>2</v>
      </c>
      <c r="D723" s="1">
        <v>19357</v>
      </c>
      <c r="E723" s="1">
        <v>223263</v>
      </c>
      <c r="F723" s="2">
        <v>74627</v>
      </c>
    </row>
    <row r="724" spans="1:6" x14ac:dyDescent="0.25">
      <c r="A724">
        <v>2019</v>
      </c>
      <c r="B724" t="s">
        <v>56</v>
      </c>
      <c r="C724" t="s">
        <v>3</v>
      </c>
      <c r="D724" s="1">
        <v>8591</v>
      </c>
      <c r="E724" s="1">
        <v>51934</v>
      </c>
      <c r="F724" s="2">
        <v>60198</v>
      </c>
    </row>
    <row r="725" spans="1:6" x14ac:dyDescent="0.25">
      <c r="A725">
        <v>2019</v>
      </c>
      <c r="B725" t="s">
        <v>56</v>
      </c>
      <c r="C725" t="s">
        <v>4</v>
      </c>
      <c r="D725" s="1">
        <v>109980</v>
      </c>
      <c r="E725" s="1">
        <v>841829</v>
      </c>
      <c r="F725" s="2">
        <v>112757</v>
      </c>
    </row>
    <row r="726" spans="1:6" x14ac:dyDescent="0.25">
      <c r="A726">
        <v>2019</v>
      </c>
      <c r="B726" t="s">
        <v>56</v>
      </c>
      <c r="C726" t="s">
        <v>5</v>
      </c>
      <c r="D726" s="1">
        <v>24028</v>
      </c>
      <c r="E726" s="1">
        <v>167272</v>
      </c>
      <c r="F726" s="2">
        <v>88613</v>
      </c>
    </row>
    <row r="727" spans="1:6" x14ac:dyDescent="0.25">
      <c r="A727">
        <v>2019</v>
      </c>
      <c r="B727" t="s">
        <v>56</v>
      </c>
      <c r="C727" t="s">
        <v>6</v>
      </c>
      <c r="D727" s="1">
        <v>11028</v>
      </c>
      <c r="E727" s="1">
        <v>121869</v>
      </c>
      <c r="F727" s="2">
        <v>157629</v>
      </c>
    </row>
    <row r="728" spans="1:6" x14ac:dyDescent="0.25">
      <c r="A728">
        <v>2019</v>
      </c>
      <c r="B728" t="s">
        <v>56</v>
      </c>
      <c r="C728" t="s">
        <v>7</v>
      </c>
      <c r="D728" s="1">
        <v>2907</v>
      </c>
      <c r="E728" s="1">
        <v>48162</v>
      </c>
      <c r="F728" s="2">
        <v>97426</v>
      </c>
    </row>
    <row r="729" spans="1:6" x14ac:dyDescent="0.25">
      <c r="A729">
        <v>2019</v>
      </c>
      <c r="B729" t="s">
        <v>56</v>
      </c>
      <c r="C729" t="s">
        <v>8</v>
      </c>
      <c r="D729" s="1">
        <v>76648</v>
      </c>
      <c r="E729" s="1">
        <v>585959</v>
      </c>
      <c r="F729" s="2">
        <v>77025</v>
      </c>
    </row>
    <row r="730" spans="1:6" x14ac:dyDescent="0.25">
      <c r="A730">
        <v>2019</v>
      </c>
      <c r="B730" t="s">
        <v>56</v>
      </c>
      <c r="C730" t="s">
        <v>9</v>
      </c>
      <c r="D730" s="1">
        <v>26961</v>
      </c>
      <c r="E730" s="1">
        <v>242468</v>
      </c>
      <c r="F730" s="2">
        <v>86701</v>
      </c>
    </row>
    <row r="731" spans="1:6" x14ac:dyDescent="0.25">
      <c r="A731">
        <v>2019</v>
      </c>
      <c r="B731" t="s">
        <v>56</v>
      </c>
      <c r="C731" t="s">
        <v>10</v>
      </c>
      <c r="D731" s="1">
        <v>5859</v>
      </c>
      <c r="E731" s="1">
        <v>33273</v>
      </c>
      <c r="F731" s="2">
        <v>59504</v>
      </c>
    </row>
    <row r="732" spans="1:6" x14ac:dyDescent="0.25">
      <c r="A732">
        <v>2019</v>
      </c>
      <c r="B732" t="s">
        <v>56</v>
      </c>
      <c r="C732" t="s">
        <v>11</v>
      </c>
      <c r="D732" s="1">
        <v>32792</v>
      </c>
      <c r="E732" s="1">
        <v>381941</v>
      </c>
      <c r="F732" s="2">
        <v>113091</v>
      </c>
    </row>
    <row r="733" spans="1:6" x14ac:dyDescent="0.25">
      <c r="A733">
        <v>2019</v>
      </c>
      <c r="B733" t="s">
        <v>56</v>
      </c>
      <c r="C733" t="s">
        <v>12</v>
      </c>
      <c r="D733" s="1">
        <v>16940</v>
      </c>
      <c r="E733" s="1">
        <v>135547</v>
      </c>
      <c r="F733" s="2">
        <v>67469</v>
      </c>
    </row>
    <row r="734" spans="1:6" x14ac:dyDescent="0.25">
      <c r="A734">
        <v>2019</v>
      </c>
      <c r="B734" t="s">
        <v>56</v>
      </c>
      <c r="C734" t="s">
        <v>13</v>
      </c>
      <c r="D734" s="1">
        <v>10414</v>
      </c>
      <c r="E734" s="1">
        <v>110010</v>
      </c>
      <c r="F734" s="2">
        <v>76212</v>
      </c>
    </row>
    <row r="735" spans="1:6" x14ac:dyDescent="0.25">
      <c r="A735">
        <v>2019</v>
      </c>
      <c r="B735" t="s">
        <v>56</v>
      </c>
      <c r="C735" t="s">
        <v>14</v>
      </c>
      <c r="D735" s="1">
        <v>8744</v>
      </c>
      <c r="E735" s="1">
        <v>74336</v>
      </c>
      <c r="F735" s="2">
        <v>68950</v>
      </c>
    </row>
    <row r="736" spans="1:6" x14ac:dyDescent="0.25">
      <c r="A736">
        <v>2019</v>
      </c>
      <c r="B736" t="s">
        <v>56</v>
      </c>
      <c r="C736" t="s">
        <v>15</v>
      </c>
      <c r="D736" s="1">
        <v>11201</v>
      </c>
      <c r="E736" s="1">
        <v>93556</v>
      </c>
      <c r="F736" s="2">
        <v>69885</v>
      </c>
    </row>
    <row r="737" spans="1:6" x14ac:dyDescent="0.25">
      <c r="A737">
        <v>2019</v>
      </c>
      <c r="B737" t="s">
        <v>56</v>
      </c>
      <c r="C737" t="s">
        <v>16</v>
      </c>
      <c r="D737" s="1">
        <v>13852</v>
      </c>
      <c r="E737" s="1">
        <v>84791</v>
      </c>
      <c r="F737" s="2">
        <v>63590</v>
      </c>
    </row>
    <row r="738" spans="1:6" x14ac:dyDescent="0.25">
      <c r="A738">
        <v>2019</v>
      </c>
      <c r="B738" t="s">
        <v>56</v>
      </c>
      <c r="C738" t="s">
        <v>17</v>
      </c>
      <c r="D738" s="1">
        <v>3854</v>
      </c>
      <c r="E738" s="1">
        <v>30481</v>
      </c>
      <c r="F738" s="2">
        <v>70030</v>
      </c>
    </row>
    <row r="739" spans="1:6" x14ac:dyDescent="0.25">
      <c r="A739">
        <v>2019</v>
      </c>
      <c r="B739" t="s">
        <v>56</v>
      </c>
      <c r="C739" t="s">
        <v>18</v>
      </c>
      <c r="D739" s="1">
        <v>15512</v>
      </c>
      <c r="E739" s="1">
        <v>135216</v>
      </c>
      <c r="F739" s="2">
        <v>98024</v>
      </c>
    </row>
    <row r="740" spans="1:6" x14ac:dyDescent="0.25">
      <c r="A740">
        <v>2019</v>
      </c>
      <c r="B740" t="s">
        <v>56</v>
      </c>
      <c r="C740" t="s">
        <v>19</v>
      </c>
      <c r="D740" s="1">
        <v>17883</v>
      </c>
      <c r="E740" s="1">
        <v>218858</v>
      </c>
      <c r="F740" s="2">
        <v>147565</v>
      </c>
    </row>
    <row r="741" spans="1:6" x14ac:dyDescent="0.25">
      <c r="A741">
        <v>2019</v>
      </c>
      <c r="B741" t="s">
        <v>56</v>
      </c>
      <c r="C741" t="s">
        <v>20</v>
      </c>
      <c r="D741" s="1">
        <v>19641</v>
      </c>
      <c r="E741" s="1">
        <v>208812</v>
      </c>
      <c r="F741" s="2">
        <v>73691</v>
      </c>
    </row>
    <row r="742" spans="1:6" x14ac:dyDescent="0.25">
      <c r="A742">
        <v>2019</v>
      </c>
      <c r="B742" t="s">
        <v>56</v>
      </c>
      <c r="C742" t="s">
        <v>21</v>
      </c>
      <c r="D742" s="1">
        <v>15855</v>
      </c>
      <c r="E742" s="1">
        <v>182914</v>
      </c>
      <c r="F742" s="2">
        <v>97673</v>
      </c>
    </row>
    <row r="743" spans="1:6" x14ac:dyDescent="0.25">
      <c r="A743">
        <v>2019</v>
      </c>
      <c r="B743" t="s">
        <v>56</v>
      </c>
      <c r="C743" t="s">
        <v>22</v>
      </c>
      <c r="D743" s="1">
        <v>7944</v>
      </c>
      <c r="E743" s="1">
        <v>43109</v>
      </c>
      <c r="F743" s="2">
        <v>54672</v>
      </c>
    </row>
    <row r="744" spans="1:6" x14ac:dyDescent="0.25">
      <c r="A744">
        <v>2019</v>
      </c>
      <c r="B744" t="s">
        <v>56</v>
      </c>
      <c r="C744" t="s">
        <v>23</v>
      </c>
      <c r="D744" s="1">
        <v>17951</v>
      </c>
      <c r="E744" s="1">
        <v>166025</v>
      </c>
      <c r="F744" s="2">
        <v>75387</v>
      </c>
    </row>
    <row r="745" spans="1:6" x14ac:dyDescent="0.25">
      <c r="A745">
        <v>2019</v>
      </c>
      <c r="B745" t="s">
        <v>56</v>
      </c>
      <c r="C745" t="s">
        <v>24</v>
      </c>
      <c r="D745" s="1">
        <v>4314</v>
      </c>
      <c r="E745" s="1">
        <v>22199</v>
      </c>
      <c r="F745" s="2">
        <v>60907</v>
      </c>
    </row>
    <row r="746" spans="1:6" x14ac:dyDescent="0.25">
      <c r="A746">
        <v>2019</v>
      </c>
      <c r="B746" t="s">
        <v>56</v>
      </c>
      <c r="C746" t="s">
        <v>25</v>
      </c>
      <c r="D746" s="1">
        <v>6842</v>
      </c>
      <c r="E746" s="1">
        <v>67425</v>
      </c>
      <c r="F746" s="2">
        <v>69072</v>
      </c>
    </row>
    <row r="747" spans="1:6" x14ac:dyDescent="0.25">
      <c r="A747">
        <v>2019</v>
      </c>
      <c r="B747" t="s">
        <v>56</v>
      </c>
      <c r="C747" t="s">
        <v>26</v>
      </c>
      <c r="D747" s="1">
        <v>9324</v>
      </c>
      <c r="E747" s="1">
        <v>64932</v>
      </c>
      <c r="F747" s="2">
        <v>70204</v>
      </c>
    </row>
    <row r="748" spans="1:6" x14ac:dyDescent="0.25">
      <c r="A748">
        <v>2019</v>
      </c>
      <c r="B748" t="s">
        <v>56</v>
      </c>
      <c r="C748" t="s">
        <v>27</v>
      </c>
      <c r="D748" s="1">
        <v>3881</v>
      </c>
      <c r="E748" s="1">
        <v>33418</v>
      </c>
      <c r="F748" s="2">
        <v>100104</v>
      </c>
    </row>
    <row r="749" spans="1:6" x14ac:dyDescent="0.25">
      <c r="A749">
        <v>2019</v>
      </c>
      <c r="B749" t="s">
        <v>56</v>
      </c>
      <c r="C749" t="s">
        <v>28</v>
      </c>
      <c r="D749" s="1">
        <v>20037</v>
      </c>
      <c r="E749" s="1">
        <v>243892</v>
      </c>
      <c r="F749" s="2">
        <v>117277</v>
      </c>
    </row>
    <row r="750" spans="1:6" x14ac:dyDescent="0.25">
      <c r="A750">
        <v>2019</v>
      </c>
      <c r="B750" t="s">
        <v>56</v>
      </c>
      <c r="C750" t="s">
        <v>29</v>
      </c>
      <c r="D750" s="1">
        <v>5460</v>
      </c>
      <c r="E750" s="1">
        <v>33799</v>
      </c>
      <c r="F750" s="2">
        <v>57768</v>
      </c>
    </row>
    <row r="751" spans="1:6" x14ac:dyDescent="0.25">
      <c r="A751">
        <v>2019</v>
      </c>
      <c r="B751" t="s">
        <v>56</v>
      </c>
      <c r="C751" t="s">
        <v>30</v>
      </c>
      <c r="D751" s="1">
        <v>63310</v>
      </c>
      <c r="E751" s="1">
        <v>720818</v>
      </c>
      <c r="F751" s="2">
        <v>191494</v>
      </c>
    </row>
    <row r="752" spans="1:6" x14ac:dyDescent="0.25">
      <c r="A752">
        <v>2019</v>
      </c>
      <c r="B752" t="s">
        <v>56</v>
      </c>
      <c r="C752" t="s">
        <v>31</v>
      </c>
      <c r="D752" s="1">
        <v>28672</v>
      </c>
      <c r="E752" s="1">
        <v>245903</v>
      </c>
      <c r="F752" s="2">
        <v>89886</v>
      </c>
    </row>
    <row r="753" spans="1:6" x14ac:dyDescent="0.25">
      <c r="A753">
        <v>2019</v>
      </c>
      <c r="B753" t="s">
        <v>56</v>
      </c>
      <c r="C753" t="s">
        <v>32</v>
      </c>
      <c r="D753" s="1">
        <v>2985</v>
      </c>
      <c r="E753" s="1">
        <v>23264</v>
      </c>
      <c r="F753" s="2">
        <v>65784</v>
      </c>
    </row>
    <row r="754" spans="1:6" x14ac:dyDescent="0.25">
      <c r="A754">
        <v>2019</v>
      </c>
      <c r="B754" t="s">
        <v>56</v>
      </c>
      <c r="C754" t="s">
        <v>33</v>
      </c>
      <c r="D754" s="1">
        <v>29119</v>
      </c>
      <c r="E754" s="1">
        <v>292556</v>
      </c>
      <c r="F754" s="2">
        <v>75683</v>
      </c>
    </row>
    <row r="755" spans="1:6" x14ac:dyDescent="0.25">
      <c r="A755">
        <v>2019</v>
      </c>
      <c r="B755" t="s">
        <v>56</v>
      </c>
      <c r="C755" t="s">
        <v>34</v>
      </c>
      <c r="D755" s="1">
        <v>11672</v>
      </c>
      <c r="E755" s="1">
        <v>77324</v>
      </c>
      <c r="F755" s="2">
        <v>59814</v>
      </c>
    </row>
    <row r="756" spans="1:6" x14ac:dyDescent="0.25">
      <c r="A756">
        <v>2019</v>
      </c>
      <c r="B756" t="s">
        <v>56</v>
      </c>
      <c r="C756" t="s">
        <v>35</v>
      </c>
      <c r="D756" s="1">
        <v>13190</v>
      </c>
      <c r="E756" s="1">
        <v>85425</v>
      </c>
      <c r="F756" s="2">
        <v>73291</v>
      </c>
    </row>
    <row r="757" spans="1:6" x14ac:dyDescent="0.25">
      <c r="A757">
        <v>2019</v>
      </c>
      <c r="B757" t="s">
        <v>56</v>
      </c>
      <c r="C757" t="s">
        <v>36</v>
      </c>
      <c r="D757" s="1">
        <v>29264</v>
      </c>
      <c r="E757" s="1">
        <v>329745</v>
      </c>
      <c r="F757" s="2">
        <v>90778</v>
      </c>
    </row>
    <row r="758" spans="1:6" x14ac:dyDescent="0.25">
      <c r="A758">
        <v>2019</v>
      </c>
      <c r="B758" t="s">
        <v>56</v>
      </c>
      <c r="C758" t="s">
        <v>37</v>
      </c>
      <c r="D758" s="1">
        <v>2934</v>
      </c>
      <c r="E758" s="1">
        <v>32223</v>
      </c>
      <c r="F758" s="2">
        <v>91537</v>
      </c>
    </row>
    <row r="759" spans="1:6" x14ac:dyDescent="0.25">
      <c r="A759">
        <v>2019</v>
      </c>
      <c r="B759" t="s">
        <v>56</v>
      </c>
      <c r="C759" t="s">
        <v>38</v>
      </c>
      <c r="D759" s="1">
        <v>14196</v>
      </c>
      <c r="E759" s="1">
        <v>101755</v>
      </c>
      <c r="F759" s="2">
        <v>64481</v>
      </c>
    </row>
    <row r="760" spans="1:6" x14ac:dyDescent="0.25">
      <c r="A760">
        <v>2019</v>
      </c>
      <c r="B760" t="s">
        <v>56</v>
      </c>
      <c r="C760" t="s">
        <v>39</v>
      </c>
      <c r="D760" s="1">
        <v>3315</v>
      </c>
      <c r="E760" s="1">
        <v>28483</v>
      </c>
      <c r="F760" s="2">
        <v>63499</v>
      </c>
    </row>
    <row r="761" spans="1:6" x14ac:dyDescent="0.25">
      <c r="A761">
        <v>2019</v>
      </c>
      <c r="B761" t="s">
        <v>56</v>
      </c>
      <c r="C761" t="s">
        <v>40</v>
      </c>
      <c r="D761" s="1">
        <v>16270</v>
      </c>
      <c r="E761" s="1">
        <v>157388</v>
      </c>
      <c r="F761" s="2">
        <v>77805</v>
      </c>
    </row>
    <row r="762" spans="1:6" x14ac:dyDescent="0.25">
      <c r="A762">
        <v>2019</v>
      </c>
      <c r="B762" t="s">
        <v>56</v>
      </c>
      <c r="C762" t="s">
        <v>41</v>
      </c>
      <c r="D762" s="1">
        <v>76169</v>
      </c>
      <c r="E762" s="1">
        <v>777574</v>
      </c>
      <c r="F762" s="2">
        <v>86718</v>
      </c>
    </row>
    <row r="763" spans="1:6" x14ac:dyDescent="0.25">
      <c r="A763">
        <v>2019</v>
      </c>
      <c r="B763" t="s">
        <v>56</v>
      </c>
      <c r="C763" t="s">
        <v>42</v>
      </c>
      <c r="D763" s="1">
        <v>11885</v>
      </c>
      <c r="E763" s="1">
        <v>90007</v>
      </c>
      <c r="F763" s="2">
        <v>70967</v>
      </c>
    </row>
    <row r="764" spans="1:6" x14ac:dyDescent="0.25">
      <c r="A764">
        <v>2019</v>
      </c>
      <c r="B764" t="s">
        <v>56</v>
      </c>
      <c r="C764" t="s">
        <v>43</v>
      </c>
      <c r="D764" s="1">
        <v>1709</v>
      </c>
      <c r="E764" s="1">
        <v>11948</v>
      </c>
      <c r="F764" s="2">
        <v>74642</v>
      </c>
    </row>
    <row r="765" spans="1:6" x14ac:dyDescent="0.25">
      <c r="A765">
        <v>2019</v>
      </c>
      <c r="B765" t="s">
        <v>56</v>
      </c>
      <c r="C765" t="s">
        <v>44</v>
      </c>
      <c r="D765" s="1">
        <v>22249</v>
      </c>
      <c r="E765" s="1">
        <v>198459</v>
      </c>
      <c r="F765" s="2">
        <v>88029</v>
      </c>
    </row>
    <row r="766" spans="1:6" x14ac:dyDescent="0.25">
      <c r="A766">
        <v>2019</v>
      </c>
      <c r="B766" t="s">
        <v>56</v>
      </c>
      <c r="C766" t="s">
        <v>45</v>
      </c>
      <c r="D766" s="1">
        <v>17624</v>
      </c>
      <c r="E766" s="1">
        <v>150178</v>
      </c>
      <c r="F766" s="2">
        <v>85242</v>
      </c>
    </row>
    <row r="767" spans="1:6" x14ac:dyDescent="0.25">
      <c r="A767">
        <v>2019</v>
      </c>
      <c r="B767" t="s">
        <v>56</v>
      </c>
      <c r="C767" t="s">
        <v>46</v>
      </c>
      <c r="D767" s="1">
        <v>4003</v>
      </c>
      <c r="E767" s="1">
        <v>24569</v>
      </c>
      <c r="F767" s="2">
        <v>54528</v>
      </c>
    </row>
    <row r="768" spans="1:6" x14ac:dyDescent="0.25">
      <c r="A768">
        <v>2019</v>
      </c>
      <c r="B768" t="s">
        <v>56</v>
      </c>
      <c r="C768" t="s">
        <v>47</v>
      </c>
      <c r="D768" s="1">
        <v>14066</v>
      </c>
      <c r="E768" s="1">
        <v>150327</v>
      </c>
      <c r="F768" s="2">
        <v>74040</v>
      </c>
    </row>
    <row r="769" spans="1:6" x14ac:dyDescent="0.25">
      <c r="A769">
        <v>2019</v>
      </c>
      <c r="B769" t="s">
        <v>56</v>
      </c>
      <c r="C769" t="s">
        <v>48</v>
      </c>
      <c r="D769" s="1">
        <v>2306</v>
      </c>
      <c r="E769" s="1">
        <v>11180</v>
      </c>
      <c r="F769" s="2">
        <v>60849</v>
      </c>
    </row>
    <row r="770" spans="1:6" x14ac:dyDescent="0.25">
      <c r="A770">
        <v>2019</v>
      </c>
      <c r="B770" t="s">
        <v>57</v>
      </c>
      <c r="C770" t="s">
        <v>1</v>
      </c>
      <c r="D770" s="1">
        <v>22186</v>
      </c>
      <c r="E770" s="1">
        <v>251073</v>
      </c>
      <c r="F770" s="2">
        <v>57061</v>
      </c>
    </row>
    <row r="771" spans="1:6" x14ac:dyDescent="0.25">
      <c r="A771">
        <v>2019</v>
      </c>
      <c r="B771" t="s">
        <v>57</v>
      </c>
      <c r="C771" t="s">
        <v>2</v>
      </c>
      <c r="D771" s="1">
        <v>38940</v>
      </c>
      <c r="E771" s="1">
        <v>445648</v>
      </c>
      <c r="F771" s="2">
        <v>58892</v>
      </c>
    </row>
    <row r="772" spans="1:6" x14ac:dyDescent="0.25">
      <c r="A772">
        <v>2019</v>
      </c>
      <c r="B772" t="s">
        <v>57</v>
      </c>
      <c r="C772" t="s">
        <v>3</v>
      </c>
      <c r="D772" s="1">
        <v>14911</v>
      </c>
      <c r="E772" s="1">
        <v>145841</v>
      </c>
      <c r="F772" s="2">
        <v>63354</v>
      </c>
    </row>
    <row r="773" spans="1:6" x14ac:dyDescent="0.25">
      <c r="A773">
        <v>2019</v>
      </c>
      <c r="B773" t="s">
        <v>57</v>
      </c>
      <c r="C773" t="s">
        <v>4</v>
      </c>
      <c r="D773" s="1">
        <v>215691</v>
      </c>
      <c r="E773" s="1">
        <v>2723437</v>
      </c>
      <c r="F773" s="2">
        <v>95348</v>
      </c>
    </row>
    <row r="774" spans="1:6" x14ac:dyDescent="0.25">
      <c r="A774">
        <v>2019</v>
      </c>
      <c r="B774" t="s">
        <v>57</v>
      </c>
      <c r="C774" t="s">
        <v>5</v>
      </c>
      <c r="D774" s="1">
        <v>55003</v>
      </c>
      <c r="E774" s="1">
        <v>439613</v>
      </c>
      <c r="F774" s="2">
        <v>86477</v>
      </c>
    </row>
    <row r="775" spans="1:6" x14ac:dyDescent="0.25">
      <c r="A775">
        <v>2019</v>
      </c>
      <c r="B775" t="s">
        <v>57</v>
      </c>
      <c r="C775" t="s">
        <v>6</v>
      </c>
      <c r="D775" s="1">
        <v>23755</v>
      </c>
      <c r="E775" s="1">
        <v>218815</v>
      </c>
      <c r="F775" s="2">
        <v>92139</v>
      </c>
    </row>
    <row r="776" spans="1:6" x14ac:dyDescent="0.25">
      <c r="A776">
        <v>2019</v>
      </c>
      <c r="B776" t="s">
        <v>57</v>
      </c>
      <c r="C776" t="s">
        <v>7</v>
      </c>
      <c r="D776" s="1">
        <v>9421</v>
      </c>
      <c r="E776" s="1">
        <v>63844</v>
      </c>
      <c r="F776" s="2">
        <v>82658</v>
      </c>
    </row>
    <row r="777" spans="1:6" x14ac:dyDescent="0.25">
      <c r="A777">
        <v>2019</v>
      </c>
      <c r="B777" t="s">
        <v>57</v>
      </c>
      <c r="C777" t="s">
        <v>8</v>
      </c>
      <c r="D777" s="1">
        <v>170397</v>
      </c>
      <c r="E777" s="1">
        <v>1391050</v>
      </c>
      <c r="F777" s="2">
        <v>63740</v>
      </c>
    </row>
    <row r="778" spans="1:6" x14ac:dyDescent="0.25">
      <c r="A778">
        <v>2019</v>
      </c>
      <c r="B778" t="s">
        <v>57</v>
      </c>
      <c r="C778" t="s">
        <v>9</v>
      </c>
      <c r="D778" s="1">
        <v>56304</v>
      </c>
      <c r="E778" s="1">
        <v>717238</v>
      </c>
      <c r="F778" s="2">
        <v>71861</v>
      </c>
    </row>
    <row r="779" spans="1:6" x14ac:dyDescent="0.25">
      <c r="A779">
        <v>2019</v>
      </c>
      <c r="B779" t="s">
        <v>57</v>
      </c>
      <c r="C779" t="s">
        <v>10</v>
      </c>
      <c r="D779" s="1">
        <v>11359</v>
      </c>
      <c r="E779" s="1">
        <v>94181</v>
      </c>
      <c r="F779" s="2">
        <v>55072</v>
      </c>
    </row>
    <row r="780" spans="1:6" x14ac:dyDescent="0.25">
      <c r="A780">
        <v>2019</v>
      </c>
      <c r="B780" t="s">
        <v>57</v>
      </c>
      <c r="C780" t="s">
        <v>11</v>
      </c>
      <c r="D780" s="1">
        <v>75870</v>
      </c>
      <c r="E780" s="1">
        <v>948055</v>
      </c>
      <c r="F780" s="2">
        <v>78228</v>
      </c>
    </row>
    <row r="781" spans="1:6" x14ac:dyDescent="0.25">
      <c r="A781">
        <v>2019</v>
      </c>
      <c r="B781" t="s">
        <v>57</v>
      </c>
      <c r="C781" t="s">
        <v>12</v>
      </c>
      <c r="D781" s="1">
        <v>30165</v>
      </c>
      <c r="E781" s="1">
        <v>346667</v>
      </c>
      <c r="F781" s="2">
        <v>53817</v>
      </c>
    </row>
    <row r="782" spans="1:6" x14ac:dyDescent="0.25">
      <c r="A782">
        <v>2019</v>
      </c>
      <c r="B782" t="s">
        <v>57</v>
      </c>
      <c r="C782" t="s">
        <v>13</v>
      </c>
      <c r="D782" s="1">
        <v>16421</v>
      </c>
      <c r="E782" s="1">
        <v>139337</v>
      </c>
      <c r="F782" s="2">
        <v>56755</v>
      </c>
    </row>
    <row r="783" spans="1:6" x14ac:dyDescent="0.25">
      <c r="A783">
        <v>2019</v>
      </c>
      <c r="B783" t="s">
        <v>57</v>
      </c>
      <c r="C783" t="s">
        <v>14</v>
      </c>
      <c r="D783" s="1">
        <v>16598</v>
      </c>
      <c r="E783" s="1">
        <v>179211</v>
      </c>
      <c r="F783" s="2">
        <v>64554</v>
      </c>
    </row>
    <row r="784" spans="1:6" x14ac:dyDescent="0.25">
      <c r="A784">
        <v>2019</v>
      </c>
      <c r="B784" t="s">
        <v>57</v>
      </c>
      <c r="C784" t="s">
        <v>15</v>
      </c>
      <c r="D784" s="1">
        <v>20866</v>
      </c>
      <c r="E784" s="1">
        <v>216049</v>
      </c>
      <c r="F784" s="2">
        <v>52511</v>
      </c>
    </row>
    <row r="785" spans="1:6" x14ac:dyDescent="0.25">
      <c r="A785">
        <v>2019</v>
      </c>
      <c r="B785" t="s">
        <v>57</v>
      </c>
      <c r="C785" t="s">
        <v>16</v>
      </c>
      <c r="D785" s="1">
        <v>25304</v>
      </c>
      <c r="E785" s="1">
        <v>216009</v>
      </c>
      <c r="F785" s="2">
        <v>57624</v>
      </c>
    </row>
    <row r="786" spans="1:6" x14ac:dyDescent="0.25">
      <c r="A786">
        <v>2019</v>
      </c>
      <c r="B786" t="s">
        <v>57</v>
      </c>
      <c r="C786" t="s">
        <v>17</v>
      </c>
      <c r="D786" s="1">
        <v>10504</v>
      </c>
      <c r="E786" s="1">
        <v>69931</v>
      </c>
      <c r="F786" s="2">
        <v>60893</v>
      </c>
    </row>
    <row r="787" spans="1:6" x14ac:dyDescent="0.25">
      <c r="A787">
        <v>2019</v>
      </c>
      <c r="B787" t="s">
        <v>57</v>
      </c>
      <c r="C787" t="s">
        <v>18</v>
      </c>
      <c r="D787" s="1">
        <v>44172</v>
      </c>
      <c r="E787" s="1">
        <v>461724</v>
      </c>
      <c r="F787" s="2">
        <v>82573</v>
      </c>
    </row>
    <row r="788" spans="1:6" x14ac:dyDescent="0.25">
      <c r="A788">
        <v>2019</v>
      </c>
      <c r="B788" t="s">
        <v>57</v>
      </c>
      <c r="C788" t="s">
        <v>19</v>
      </c>
      <c r="D788" s="1">
        <v>47892</v>
      </c>
      <c r="E788" s="1">
        <v>605822</v>
      </c>
      <c r="F788" s="2">
        <v>113872</v>
      </c>
    </row>
    <row r="789" spans="1:6" x14ac:dyDescent="0.25">
      <c r="A789">
        <v>2019</v>
      </c>
      <c r="B789" t="s">
        <v>57</v>
      </c>
      <c r="C789" t="s">
        <v>20</v>
      </c>
      <c r="D789" s="1">
        <v>44483</v>
      </c>
      <c r="E789" s="1">
        <v>655188</v>
      </c>
      <c r="F789" s="2">
        <v>70805</v>
      </c>
    </row>
    <row r="790" spans="1:6" x14ac:dyDescent="0.25">
      <c r="A790">
        <v>2019</v>
      </c>
      <c r="B790" t="s">
        <v>57</v>
      </c>
      <c r="C790" t="s">
        <v>21</v>
      </c>
      <c r="D790" s="1">
        <v>32903</v>
      </c>
      <c r="E790" s="1">
        <v>383591</v>
      </c>
      <c r="F790" s="2">
        <v>85736</v>
      </c>
    </row>
    <row r="791" spans="1:6" x14ac:dyDescent="0.25">
      <c r="A791">
        <v>2019</v>
      </c>
      <c r="B791" t="s">
        <v>57</v>
      </c>
      <c r="C791" t="s">
        <v>22</v>
      </c>
      <c r="D791" s="1">
        <v>12421</v>
      </c>
      <c r="E791" s="1">
        <v>108490</v>
      </c>
      <c r="F791" s="2">
        <v>43023</v>
      </c>
    </row>
    <row r="792" spans="1:6" x14ac:dyDescent="0.25">
      <c r="A792">
        <v>2019</v>
      </c>
      <c r="B792" t="s">
        <v>57</v>
      </c>
      <c r="C792" t="s">
        <v>23</v>
      </c>
      <c r="D792" s="1">
        <v>34349</v>
      </c>
      <c r="E792" s="1">
        <v>382484</v>
      </c>
      <c r="F792" s="2">
        <v>68700</v>
      </c>
    </row>
    <row r="793" spans="1:6" x14ac:dyDescent="0.25">
      <c r="A793">
        <v>2019</v>
      </c>
      <c r="B793" t="s">
        <v>57</v>
      </c>
      <c r="C793" t="s">
        <v>24</v>
      </c>
      <c r="D793" s="1">
        <v>9482</v>
      </c>
      <c r="E793" s="1">
        <v>43417</v>
      </c>
      <c r="F793" s="2">
        <v>54553</v>
      </c>
    </row>
    <row r="794" spans="1:6" x14ac:dyDescent="0.25">
      <c r="A794">
        <v>2019</v>
      </c>
      <c r="B794" t="s">
        <v>57</v>
      </c>
      <c r="C794" t="s">
        <v>25</v>
      </c>
      <c r="D794" s="1">
        <v>11737</v>
      </c>
      <c r="E794" s="1">
        <v>120560</v>
      </c>
      <c r="F794" s="2">
        <v>60603</v>
      </c>
    </row>
    <row r="795" spans="1:6" x14ac:dyDescent="0.25">
      <c r="A795">
        <v>2019</v>
      </c>
      <c r="B795" t="s">
        <v>57</v>
      </c>
      <c r="C795" t="s">
        <v>26</v>
      </c>
      <c r="D795" s="1">
        <v>20106</v>
      </c>
      <c r="E795" s="1">
        <v>196204</v>
      </c>
      <c r="F795" s="2">
        <v>62008</v>
      </c>
    </row>
    <row r="796" spans="1:6" x14ac:dyDescent="0.25">
      <c r="A796">
        <v>2019</v>
      </c>
      <c r="B796" t="s">
        <v>57</v>
      </c>
      <c r="C796" t="s">
        <v>27</v>
      </c>
      <c r="D796" s="1">
        <v>12808</v>
      </c>
      <c r="E796" s="1">
        <v>83513</v>
      </c>
      <c r="F796" s="2">
        <v>80647</v>
      </c>
    </row>
    <row r="797" spans="1:6" x14ac:dyDescent="0.25">
      <c r="A797">
        <v>2019</v>
      </c>
      <c r="B797" t="s">
        <v>57</v>
      </c>
      <c r="C797" t="s">
        <v>28</v>
      </c>
      <c r="D797" s="1">
        <v>52040</v>
      </c>
      <c r="E797" s="1">
        <v>677810</v>
      </c>
      <c r="F797" s="2">
        <v>94022</v>
      </c>
    </row>
    <row r="798" spans="1:6" x14ac:dyDescent="0.25">
      <c r="A798">
        <v>2019</v>
      </c>
      <c r="B798" t="s">
        <v>57</v>
      </c>
      <c r="C798" t="s">
        <v>29</v>
      </c>
      <c r="D798" s="1">
        <v>11347</v>
      </c>
      <c r="E798" s="1">
        <v>111478</v>
      </c>
      <c r="F798" s="2">
        <v>64156</v>
      </c>
    </row>
    <row r="799" spans="1:6" x14ac:dyDescent="0.25">
      <c r="A799">
        <v>2019</v>
      </c>
      <c r="B799" t="s">
        <v>57</v>
      </c>
      <c r="C799" t="s">
        <v>30</v>
      </c>
      <c r="D799" s="1">
        <v>112890</v>
      </c>
      <c r="E799" s="1">
        <v>1368950</v>
      </c>
      <c r="F799" s="2">
        <v>99615</v>
      </c>
    </row>
    <row r="800" spans="1:6" x14ac:dyDescent="0.25">
      <c r="A800">
        <v>2019</v>
      </c>
      <c r="B800" t="s">
        <v>57</v>
      </c>
      <c r="C800" t="s">
        <v>31</v>
      </c>
      <c r="D800" s="1">
        <v>61321</v>
      </c>
      <c r="E800" s="1">
        <v>649747</v>
      </c>
      <c r="F800" s="2">
        <v>67705</v>
      </c>
    </row>
    <row r="801" spans="1:6" x14ac:dyDescent="0.25">
      <c r="A801">
        <v>2019</v>
      </c>
      <c r="B801" t="s">
        <v>57</v>
      </c>
      <c r="C801" t="s">
        <v>32</v>
      </c>
      <c r="D801" s="1">
        <v>5198</v>
      </c>
      <c r="E801" s="1">
        <v>32856</v>
      </c>
      <c r="F801" s="2">
        <v>63897</v>
      </c>
    </row>
    <row r="802" spans="1:6" x14ac:dyDescent="0.25">
      <c r="A802">
        <v>2019</v>
      </c>
      <c r="B802" t="s">
        <v>57</v>
      </c>
      <c r="C802" t="s">
        <v>33</v>
      </c>
      <c r="D802" s="1">
        <v>54330</v>
      </c>
      <c r="E802" s="1">
        <v>734963</v>
      </c>
      <c r="F802" s="2">
        <v>66752</v>
      </c>
    </row>
    <row r="803" spans="1:6" x14ac:dyDescent="0.25">
      <c r="A803">
        <v>2019</v>
      </c>
      <c r="B803" t="s">
        <v>57</v>
      </c>
      <c r="C803" t="s">
        <v>34</v>
      </c>
      <c r="D803" s="1">
        <v>21148</v>
      </c>
      <c r="E803" s="1">
        <v>194601</v>
      </c>
      <c r="F803" s="2">
        <v>54841</v>
      </c>
    </row>
    <row r="804" spans="1:6" x14ac:dyDescent="0.25">
      <c r="A804">
        <v>2019</v>
      </c>
      <c r="B804" t="s">
        <v>57</v>
      </c>
      <c r="C804" t="s">
        <v>35</v>
      </c>
      <c r="D804" s="1">
        <v>26161</v>
      </c>
      <c r="E804" s="1">
        <v>253667</v>
      </c>
      <c r="F804" s="2">
        <v>73460</v>
      </c>
    </row>
    <row r="805" spans="1:6" x14ac:dyDescent="0.25">
      <c r="A805">
        <v>2019</v>
      </c>
      <c r="B805" t="s">
        <v>57</v>
      </c>
      <c r="C805" t="s">
        <v>36</v>
      </c>
      <c r="D805" s="1">
        <v>64541</v>
      </c>
      <c r="E805" s="1">
        <v>816358</v>
      </c>
      <c r="F805" s="2">
        <v>81681</v>
      </c>
    </row>
    <row r="806" spans="1:6" x14ac:dyDescent="0.25">
      <c r="A806">
        <v>2019</v>
      </c>
      <c r="B806" t="s">
        <v>57</v>
      </c>
      <c r="C806" t="s">
        <v>37</v>
      </c>
      <c r="D806" s="1">
        <v>9043</v>
      </c>
      <c r="E806" s="1">
        <v>68259</v>
      </c>
      <c r="F806" s="2">
        <v>68454</v>
      </c>
    </row>
    <row r="807" spans="1:6" x14ac:dyDescent="0.25">
      <c r="A807">
        <v>2019</v>
      </c>
      <c r="B807" t="s">
        <v>57</v>
      </c>
      <c r="C807" t="s">
        <v>38</v>
      </c>
      <c r="D807" s="1">
        <v>29329</v>
      </c>
      <c r="E807" s="1">
        <v>298404</v>
      </c>
      <c r="F807" s="2">
        <v>52492</v>
      </c>
    </row>
    <row r="808" spans="1:6" x14ac:dyDescent="0.25">
      <c r="A808">
        <v>2019</v>
      </c>
      <c r="B808" t="s">
        <v>57</v>
      </c>
      <c r="C808" t="s">
        <v>39</v>
      </c>
      <c r="D808" s="1">
        <v>5498</v>
      </c>
      <c r="E808" s="1">
        <v>33117</v>
      </c>
      <c r="F808" s="2">
        <v>58619</v>
      </c>
    </row>
    <row r="809" spans="1:6" x14ac:dyDescent="0.25">
      <c r="A809">
        <v>2019</v>
      </c>
      <c r="B809" t="s">
        <v>57</v>
      </c>
      <c r="C809" t="s">
        <v>40</v>
      </c>
      <c r="D809" s="1">
        <v>30774</v>
      </c>
      <c r="E809" s="1">
        <v>425933</v>
      </c>
      <c r="F809" s="2">
        <v>62990</v>
      </c>
    </row>
    <row r="810" spans="1:6" x14ac:dyDescent="0.25">
      <c r="A810">
        <v>2019</v>
      </c>
      <c r="B810" t="s">
        <v>57</v>
      </c>
      <c r="C810" t="s">
        <v>41</v>
      </c>
      <c r="D810" s="1">
        <v>139953</v>
      </c>
      <c r="E810" s="1">
        <v>1794316</v>
      </c>
      <c r="F810" s="2">
        <v>77197</v>
      </c>
    </row>
    <row r="811" spans="1:6" x14ac:dyDescent="0.25">
      <c r="A811">
        <v>2019</v>
      </c>
      <c r="B811" t="s">
        <v>57</v>
      </c>
      <c r="C811" t="s">
        <v>42</v>
      </c>
      <c r="D811" s="1">
        <v>24485</v>
      </c>
      <c r="E811" s="1">
        <v>221851</v>
      </c>
      <c r="F811" s="2">
        <v>64641</v>
      </c>
    </row>
    <row r="812" spans="1:6" x14ac:dyDescent="0.25">
      <c r="A812">
        <v>2019</v>
      </c>
      <c r="B812" t="s">
        <v>57</v>
      </c>
      <c r="C812" t="s">
        <v>43</v>
      </c>
      <c r="D812" s="1">
        <v>5970</v>
      </c>
      <c r="E812" s="1">
        <v>29394</v>
      </c>
      <c r="F812" s="2">
        <v>68986</v>
      </c>
    </row>
    <row r="813" spans="1:6" x14ac:dyDescent="0.25">
      <c r="A813">
        <v>2019</v>
      </c>
      <c r="B813" t="s">
        <v>57</v>
      </c>
      <c r="C813" t="s">
        <v>44</v>
      </c>
      <c r="D813" s="1">
        <v>59342</v>
      </c>
      <c r="E813" s="1">
        <v>762590</v>
      </c>
      <c r="F813" s="2">
        <v>90327</v>
      </c>
    </row>
    <row r="814" spans="1:6" x14ac:dyDescent="0.25">
      <c r="A814">
        <v>2019</v>
      </c>
      <c r="B814" t="s">
        <v>57</v>
      </c>
      <c r="C814" t="s">
        <v>45</v>
      </c>
      <c r="D814" s="1">
        <v>41249</v>
      </c>
      <c r="E814" s="1">
        <v>425615</v>
      </c>
      <c r="F814" s="2">
        <v>85460</v>
      </c>
    </row>
    <row r="815" spans="1:6" x14ac:dyDescent="0.25">
      <c r="A815">
        <v>2019</v>
      </c>
      <c r="B815" t="s">
        <v>57</v>
      </c>
      <c r="C815" t="s">
        <v>46</v>
      </c>
      <c r="D815" s="1">
        <v>8381</v>
      </c>
      <c r="E815" s="1">
        <v>69069</v>
      </c>
      <c r="F815" s="2">
        <v>52180</v>
      </c>
    </row>
    <row r="816" spans="1:6" x14ac:dyDescent="0.25">
      <c r="A816">
        <v>2019</v>
      </c>
      <c r="B816" t="s">
        <v>57</v>
      </c>
      <c r="C816" t="s">
        <v>47</v>
      </c>
      <c r="D816" s="1">
        <v>26927</v>
      </c>
      <c r="E816" s="1">
        <v>326120</v>
      </c>
      <c r="F816" s="2">
        <v>63192</v>
      </c>
    </row>
    <row r="817" spans="1:6" x14ac:dyDescent="0.25">
      <c r="A817">
        <v>2019</v>
      </c>
      <c r="B817" t="s">
        <v>57</v>
      </c>
      <c r="C817" t="s">
        <v>48</v>
      </c>
      <c r="D817" s="1">
        <v>4728</v>
      </c>
      <c r="E817" s="1">
        <v>19196</v>
      </c>
      <c r="F817" s="2">
        <v>56253</v>
      </c>
    </row>
    <row r="818" spans="1:6" x14ac:dyDescent="0.25">
      <c r="A818">
        <v>2019</v>
      </c>
      <c r="B818" t="s">
        <v>58</v>
      </c>
      <c r="C818" t="s">
        <v>1</v>
      </c>
      <c r="D818" s="1">
        <v>13692</v>
      </c>
      <c r="E818" s="1">
        <v>238078</v>
      </c>
      <c r="F818" s="2">
        <v>47785</v>
      </c>
    </row>
    <row r="819" spans="1:6" x14ac:dyDescent="0.25">
      <c r="A819">
        <v>2019</v>
      </c>
      <c r="B819" t="s">
        <v>58</v>
      </c>
      <c r="C819" t="s">
        <v>2</v>
      </c>
      <c r="D819" s="1">
        <v>19924</v>
      </c>
      <c r="E819" s="1">
        <v>457984</v>
      </c>
      <c r="F819" s="2">
        <v>52632</v>
      </c>
    </row>
    <row r="820" spans="1:6" x14ac:dyDescent="0.25">
      <c r="A820">
        <v>2019</v>
      </c>
      <c r="B820" t="s">
        <v>58</v>
      </c>
      <c r="C820" t="s">
        <v>3</v>
      </c>
      <c r="D820" s="1">
        <v>15780</v>
      </c>
      <c r="E820" s="1">
        <v>187607</v>
      </c>
      <c r="F820" s="2">
        <v>43983</v>
      </c>
    </row>
    <row r="821" spans="1:6" x14ac:dyDescent="0.25">
      <c r="A821">
        <v>2019</v>
      </c>
      <c r="B821" t="s">
        <v>58</v>
      </c>
      <c r="C821" t="s">
        <v>4</v>
      </c>
      <c r="D821" s="1">
        <v>639529</v>
      </c>
      <c r="E821" s="1">
        <v>2734574</v>
      </c>
      <c r="F821" s="2">
        <v>53909</v>
      </c>
    </row>
    <row r="822" spans="1:6" x14ac:dyDescent="0.25">
      <c r="A822">
        <v>2019</v>
      </c>
      <c r="B822" t="s">
        <v>58</v>
      </c>
      <c r="C822" t="s">
        <v>5</v>
      </c>
      <c r="D822" s="1">
        <v>21747</v>
      </c>
      <c r="E822" s="1">
        <v>341496</v>
      </c>
      <c r="F822" s="2">
        <v>51600</v>
      </c>
    </row>
    <row r="823" spans="1:6" x14ac:dyDescent="0.25">
      <c r="A823">
        <v>2019</v>
      </c>
      <c r="B823" t="s">
        <v>58</v>
      </c>
      <c r="C823" t="s">
        <v>6</v>
      </c>
      <c r="D823" s="1">
        <v>13478</v>
      </c>
      <c r="E823" s="1">
        <v>330418</v>
      </c>
      <c r="F823" s="2">
        <v>57419</v>
      </c>
    </row>
    <row r="824" spans="1:6" x14ac:dyDescent="0.25">
      <c r="A824">
        <v>2019</v>
      </c>
      <c r="B824" t="s">
        <v>58</v>
      </c>
      <c r="C824" t="s">
        <v>7</v>
      </c>
      <c r="D824" s="1">
        <v>5386</v>
      </c>
      <c r="E824" s="1">
        <v>76932</v>
      </c>
      <c r="F824" s="2">
        <v>55284</v>
      </c>
    </row>
    <row r="825" spans="1:6" x14ac:dyDescent="0.25">
      <c r="A825">
        <v>2019</v>
      </c>
      <c r="B825" t="s">
        <v>58</v>
      </c>
      <c r="C825" t="s">
        <v>8</v>
      </c>
      <c r="D825" s="1">
        <v>76615</v>
      </c>
      <c r="E825" s="1">
        <v>1324281</v>
      </c>
      <c r="F825" s="2">
        <v>52039</v>
      </c>
    </row>
    <row r="826" spans="1:6" x14ac:dyDescent="0.25">
      <c r="A826">
        <v>2019</v>
      </c>
      <c r="B826" t="s">
        <v>58</v>
      </c>
      <c r="C826" t="s">
        <v>9</v>
      </c>
      <c r="D826" s="1">
        <v>29998</v>
      </c>
      <c r="E826" s="1">
        <v>580134</v>
      </c>
      <c r="F826" s="2">
        <v>53810</v>
      </c>
    </row>
    <row r="827" spans="1:6" x14ac:dyDescent="0.25">
      <c r="A827">
        <v>2019</v>
      </c>
      <c r="B827" t="s">
        <v>58</v>
      </c>
      <c r="C827" t="s">
        <v>10</v>
      </c>
      <c r="D827" s="1">
        <v>8163</v>
      </c>
      <c r="E827" s="1">
        <v>105424</v>
      </c>
      <c r="F827" s="2">
        <v>43475</v>
      </c>
    </row>
    <row r="828" spans="1:6" x14ac:dyDescent="0.25">
      <c r="A828">
        <v>2019</v>
      </c>
      <c r="B828" t="s">
        <v>58</v>
      </c>
      <c r="C828" t="s">
        <v>11</v>
      </c>
      <c r="D828" s="1">
        <v>35102</v>
      </c>
      <c r="E828" s="1">
        <v>924699</v>
      </c>
      <c r="F828" s="2">
        <v>52038</v>
      </c>
    </row>
    <row r="829" spans="1:6" x14ac:dyDescent="0.25">
      <c r="A829">
        <v>2019</v>
      </c>
      <c r="B829" t="s">
        <v>58</v>
      </c>
      <c r="C829" t="s">
        <v>12</v>
      </c>
      <c r="D829" s="1">
        <v>16247</v>
      </c>
      <c r="E829" s="1">
        <v>468491</v>
      </c>
      <c r="F829" s="2">
        <v>49107</v>
      </c>
    </row>
    <row r="830" spans="1:6" x14ac:dyDescent="0.25">
      <c r="A830">
        <v>2019</v>
      </c>
      <c r="B830" t="s">
        <v>58</v>
      </c>
      <c r="C830" t="s">
        <v>13</v>
      </c>
      <c r="D830" s="1">
        <v>11966</v>
      </c>
      <c r="E830" s="1">
        <v>219013</v>
      </c>
      <c r="F830" s="2">
        <v>44392</v>
      </c>
    </row>
    <row r="831" spans="1:6" x14ac:dyDescent="0.25">
      <c r="A831">
        <v>2019</v>
      </c>
      <c r="B831" t="s">
        <v>58</v>
      </c>
      <c r="C831" t="s">
        <v>14</v>
      </c>
      <c r="D831" s="1">
        <v>10085</v>
      </c>
      <c r="E831" s="1">
        <v>197874</v>
      </c>
      <c r="F831" s="2">
        <v>43909</v>
      </c>
    </row>
    <row r="832" spans="1:6" x14ac:dyDescent="0.25">
      <c r="A832">
        <v>2019</v>
      </c>
      <c r="B832" t="s">
        <v>58</v>
      </c>
      <c r="C832" t="s">
        <v>15</v>
      </c>
      <c r="D832" s="1">
        <v>18442</v>
      </c>
      <c r="E832" s="1">
        <v>272579</v>
      </c>
      <c r="F832" s="2">
        <v>49141</v>
      </c>
    </row>
    <row r="833" spans="1:6" x14ac:dyDescent="0.25">
      <c r="A833">
        <v>2019</v>
      </c>
      <c r="B833" t="s">
        <v>58</v>
      </c>
      <c r="C833" t="s">
        <v>16</v>
      </c>
      <c r="D833" s="1">
        <v>16110</v>
      </c>
      <c r="E833" s="1">
        <v>305742</v>
      </c>
      <c r="F833" s="2">
        <v>44832</v>
      </c>
    </row>
    <row r="834" spans="1:6" x14ac:dyDescent="0.25">
      <c r="A834">
        <v>2019</v>
      </c>
      <c r="B834" t="s">
        <v>58</v>
      </c>
      <c r="C834" t="s">
        <v>17</v>
      </c>
      <c r="D834" s="1">
        <v>5474</v>
      </c>
      <c r="E834" s="1">
        <v>120085</v>
      </c>
      <c r="F834" s="2">
        <v>49342</v>
      </c>
    </row>
    <row r="835" spans="1:6" x14ac:dyDescent="0.25">
      <c r="A835">
        <v>2019</v>
      </c>
      <c r="B835" t="s">
        <v>58</v>
      </c>
      <c r="C835" t="s">
        <v>18</v>
      </c>
      <c r="D835" s="1">
        <v>21419</v>
      </c>
      <c r="E835" s="1">
        <v>451332</v>
      </c>
      <c r="F835" s="2">
        <v>55476</v>
      </c>
    </row>
    <row r="836" spans="1:6" x14ac:dyDescent="0.25">
      <c r="A836">
        <v>2019</v>
      </c>
      <c r="B836" t="s">
        <v>58</v>
      </c>
      <c r="C836" t="s">
        <v>19</v>
      </c>
      <c r="D836" s="1">
        <v>68761</v>
      </c>
      <c r="E836" s="1">
        <v>790552</v>
      </c>
      <c r="F836" s="2">
        <v>59886</v>
      </c>
    </row>
    <row r="837" spans="1:6" x14ac:dyDescent="0.25">
      <c r="A837">
        <v>2019</v>
      </c>
      <c r="B837" t="s">
        <v>58</v>
      </c>
      <c r="C837" t="s">
        <v>20</v>
      </c>
      <c r="D837" s="1">
        <v>25357</v>
      </c>
      <c r="E837" s="1">
        <v>661203</v>
      </c>
      <c r="F837" s="2">
        <v>50845</v>
      </c>
    </row>
    <row r="838" spans="1:6" x14ac:dyDescent="0.25">
      <c r="A838">
        <v>2019</v>
      </c>
      <c r="B838" t="s">
        <v>58</v>
      </c>
      <c r="C838" t="s">
        <v>21</v>
      </c>
      <c r="D838" s="1">
        <v>20728</v>
      </c>
      <c r="E838" s="1">
        <v>530749</v>
      </c>
      <c r="F838" s="2">
        <v>52656</v>
      </c>
    </row>
    <row r="839" spans="1:6" x14ac:dyDescent="0.25">
      <c r="A839">
        <v>2019</v>
      </c>
      <c r="B839" t="s">
        <v>58</v>
      </c>
      <c r="C839" t="s">
        <v>22</v>
      </c>
      <c r="D839" s="1">
        <v>7557</v>
      </c>
      <c r="E839" s="1">
        <v>146077</v>
      </c>
      <c r="F839" s="2">
        <v>42620</v>
      </c>
    </row>
    <row r="840" spans="1:6" x14ac:dyDescent="0.25">
      <c r="A840">
        <v>2019</v>
      </c>
      <c r="B840" t="s">
        <v>58</v>
      </c>
      <c r="C840" t="s">
        <v>23</v>
      </c>
      <c r="D840" s="1">
        <v>52078</v>
      </c>
      <c r="E840" s="1">
        <v>462462</v>
      </c>
      <c r="F840" s="2">
        <v>47562</v>
      </c>
    </row>
    <row r="841" spans="1:6" x14ac:dyDescent="0.25">
      <c r="A841">
        <v>2019</v>
      </c>
      <c r="B841" t="s">
        <v>58</v>
      </c>
      <c r="C841" t="s">
        <v>24</v>
      </c>
      <c r="D841" s="1">
        <v>4834</v>
      </c>
      <c r="E841" s="1">
        <v>74646</v>
      </c>
      <c r="F841" s="2">
        <v>49258</v>
      </c>
    </row>
    <row r="842" spans="1:6" x14ac:dyDescent="0.25">
      <c r="A842">
        <v>2019</v>
      </c>
      <c r="B842" t="s">
        <v>58</v>
      </c>
      <c r="C842" t="s">
        <v>25</v>
      </c>
      <c r="D842" s="1">
        <v>11559</v>
      </c>
      <c r="E842" s="1">
        <v>139275</v>
      </c>
      <c r="F842" s="2">
        <v>48735</v>
      </c>
    </row>
    <row r="843" spans="1:6" x14ac:dyDescent="0.25">
      <c r="A843">
        <v>2019</v>
      </c>
      <c r="B843" t="s">
        <v>58</v>
      </c>
      <c r="C843" t="s">
        <v>26</v>
      </c>
      <c r="D843" s="1">
        <v>8934</v>
      </c>
      <c r="E843" s="1">
        <v>143417</v>
      </c>
      <c r="F843" s="2">
        <v>54808</v>
      </c>
    </row>
    <row r="844" spans="1:6" x14ac:dyDescent="0.25">
      <c r="A844">
        <v>2019</v>
      </c>
      <c r="B844" t="s">
        <v>58</v>
      </c>
      <c r="C844" t="s">
        <v>27</v>
      </c>
      <c r="D844" s="1">
        <v>4773</v>
      </c>
      <c r="E844" s="1">
        <v>114430</v>
      </c>
      <c r="F844" s="2">
        <v>58363</v>
      </c>
    </row>
    <row r="845" spans="1:6" x14ac:dyDescent="0.25">
      <c r="A845">
        <v>2019</v>
      </c>
      <c r="B845" t="s">
        <v>58</v>
      </c>
      <c r="C845" t="s">
        <v>28</v>
      </c>
      <c r="D845" s="1">
        <v>40687</v>
      </c>
      <c r="E845" s="1">
        <v>670070</v>
      </c>
      <c r="F845" s="2">
        <v>55124</v>
      </c>
    </row>
    <row r="846" spans="1:6" x14ac:dyDescent="0.25">
      <c r="A846">
        <v>2019</v>
      </c>
      <c r="B846" t="s">
        <v>58</v>
      </c>
      <c r="C846" t="s">
        <v>29</v>
      </c>
      <c r="D846" s="1">
        <v>10974</v>
      </c>
      <c r="E846" s="1">
        <v>130181</v>
      </c>
      <c r="F846" s="2">
        <v>42852</v>
      </c>
    </row>
    <row r="847" spans="1:6" x14ac:dyDescent="0.25">
      <c r="A847">
        <v>2019</v>
      </c>
      <c r="B847" t="s">
        <v>58</v>
      </c>
      <c r="C847" t="s">
        <v>30</v>
      </c>
      <c r="D847" s="1">
        <v>67202</v>
      </c>
      <c r="E847" s="1">
        <v>1981493</v>
      </c>
      <c r="F847" s="2">
        <v>54638</v>
      </c>
    </row>
    <row r="848" spans="1:6" x14ac:dyDescent="0.25">
      <c r="A848">
        <v>2019</v>
      </c>
      <c r="B848" t="s">
        <v>58</v>
      </c>
      <c r="C848" t="s">
        <v>31</v>
      </c>
      <c r="D848" s="1">
        <v>28199</v>
      </c>
      <c r="E848" s="1">
        <v>606564</v>
      </c>
      <c r="F848" s="2">
        <v>50123</v>
      </c>
    </row>
    <row r="849" spans="1:6" x14ac:dyDescent="0.25">
      <c r="A849">
        <v>2019</v>
      </c>
      <c r="B849" t="s">
        <v>58</v>
      </c>
      <c r="C849" t="s">
        <v>32</v>
      </c>
      <c r="D849" s="1">
        <v>2581</v>
      </c>
      <c r="E849" s="1">
        <v>65771</v>
      </c>
      <c r="F849" s="2">
        <v>52585</v>
      </c>
    </row>
    <row r="850" spans="1:6" x14ac:dyDescent="0.25">
      <c r="A850">
        <v>2019</v>
      </c>
      <c r="B850" t="s">
        <v>58</v>
      </c>
      <c r="C850" t="s">
        <v>33</v>
      </c>
      <c r="D850" s="1">
        <v>35525</v>
      </c>
      <c r="E850" s="1">
        <v>908891</v>
      </c>
      <c r="F850" s="2">
        <v>47891</v>
      </c>
    </row>
    <row r="851" spans="1:6" x14ac:dyDescent="0.25">
      <c r="A851">
        <v>2019</v>
      </c>
      <c r="B851" t="s">
        <v>58</v>
      </c>
      <c r="C851" t="s">
        <v>34</v>
      </c>
      <c r="D851" s="1">
        <v>13345</v>
      </c>
      <c r="E851" s="1">
        <v>213244</v>
      </c>
      <c r="F851" s="2">
        <v>46841</v>
      </c>
    </row>
    <row r="852" spans="1:6" x14ac:dyDescent="0.25">
      <c r="A852">
        <v>2019</v>
      </c>
      <c r="B852" t="s">
        <v>58</v>
      </c>
      <c r="C852" t="s">
        <v>35</v>
      </c>
      <c r="D852" s="1">
        <v>16113</v>
      </c>
      <c r="E852" s="1">
        <v>295311</v>
      </c>
      <c r="F852" s="2">
        <v>51842</v>
      </c>
    </row>
    <row r="853" spans="1:6" x14ac:dyDescent="0.25">
      <c r="A853">
        <v>2019</v>
      </c>
      <c r="B853" t="s">
        <v>58</v>
      </c>
      <c r="C853" t="s">
        <v>36</v>
      </c>
      <c r="D853" s="1">
        <v>57945</v>
      </c>
      <c r="E853" s="1">
        <v>1230922</v>
      </c>
      <c r="F853" s="2">
        <v>53416</v>
      </c>
    </row>
    <row r="854" spans="1:6" x14ac:dyDescent="0.25">
      <c r="A854">
        <v>2019</v>
      </c>
      <c r="B854" t="s">
        <v>58</v>
      </c>
      <c r="C854" t="s">
        <v>37</v>
      </c>
      <c r="D854" s="1">
        <v>4664</v>
      </c>
      <c r="E854" s="1">
        <v>102395</v>
      </c>
      <c r="F854" s="2">
        <v>50458</v>
      </c>
    </row>
    <row r="855" spans="1:6" x14ac:dyDescent="0.25">
      <c r="A855">
        <v>2019</v>
      </c>
      <c r="B855" t="s">
        <v>58</v>
      </c>
      <c r="C855" t="s">
        <v>38</v>
      </c>
      <c r="D855" s="1">
        <v>12757</v>
      </c>
      <c r="E855" s="1">
        <v>237600</v>
      </c>
      <c r="F855" s="2">
        <v>47296</v>
      </c>
    </row>
    <row r="856" spans="1:6" x14ac:dyDescent="0.25">
      <c r="A856">
        <v>2019</v>
      </c>
      <c r="B856" t="s">
        <v>58</v>
      </c>
      <c r="C856" t="s">
        <v>39</v>
      </c>
      <c r="D856" s="1">
        <v>2904</v>
      </c>
      <c r="E856" s="1">
        <v>68913</v>
      </c>
      <c r="F856" s="2">
        <v>52412</v>
      </c>
    </row>
    <row r="857" spans="1:6" x14ac:dyDescent="0.25">
      <c r="A857">
        <v>2019</v>
      </c>
      <c r="B857" t="s">
        <v>58</v>
      </c>
      <c r="C857" t="s">
        <v>40</v>
      </c>
      <c r="D857" s="1">
        <v>16563</v>
      </c>
      <c r="E857" s="1">
        <v>427328</v>
      </c>
      <c r="F857" s="2">
        <v>53183</v>
      </c>
    </row>
    <row r="858" spans="1:6" x14ac:dyDescent="0.25">
      <c r="A858">
        <v>2019</v>
      </c>
      <c r="B858" t="s">
        <v>58</v>
      </c>
      <c r="C858" t="s">
        <v>41</v>
      </c>
      <c r="D858" s="1">
        <v>94237</v>
      </c>
      <c r="E858" s="1">
        <v>1684606</v>
      </c>
      <c r="F858" s="2">
        <v>49322</v>
      </c>
    </row>
    <row r="859" spans="1:6" x14ac:dyDescent="0.25">
      <c r="A859">
        <v>2019</v>
      </c>
      <c r="B859" t="s">
        <v>58</v>
      </c>
      <c r="C859" t="s">
        <v>42</v>
      </c>
      <c r="D859" s="1">
        <v>12857</v>
      </c>
      <c r="E859" s="1">
        <v>193373</v>
      </c>
      <c r="F859" s="2">
        <v>44983</v>
      </c>
    </row>
    <row r="860" spans="1:6" x14ac:dyDescent="0.25">
      <c r="A860">
        <v>2019</v>
      </c>
      <c r="B860" t="s">
        <v>58</v>
      </c>
      <c r="C860" t="s">
        <v>43</v>
      </c>
      <c r="D860" s="1">
        <v>2503</v>
      </c>
      <c r="E860" s="1">
        <v>62317</v>
      </c>
      <c r="F860" s="2">
        <v>48501</v>
      </c>
    </row>
    <row r="861" spans="1:6" x14ac:dyDescent="0.25">
      <c r="A861">
        <v>2019</v>
      </c>
      <c r="B861" t="s">
        <v>58</v>
      </c>
      <c r="C861" t="s">
        <v>44</v>
      </c>
      <c r="D861" s="1">
        <v>50144</v>
      </c>
      <c r="E861" s="1">
        <v>517645</v>
      </c>
      <c r="F861" s="2">
        <v>50876</v>
      </c>
    </row>
    <row r="862" spans="1:6" x14ac:dyDescent="0.25">
      <c r="A862">
        <v>2019</v>
      </c>
      <c r="B862" t="s">
        <v>58</v>
      </c>
      <c r="C862" t="s">
        <v>45</v>
      </c>
      <c r="D862" s="1">
        <v>64023</v>
      </c>
      <c r="E862" s="1">
        <v>478274</v>
      </c>
      <c r="F862" s="2">
        <v>53267</v>
      </c>
    </row>
    <row r="863" spans="1:6" x14ac:dyDescent="0.25">
      <c r="A863">
        <v>2019</v>
      </c>
      <c r="B863" t="s">
        <v>58</v>
      </c>
      <c r="C863" t="s">
        <v>46</v>
      </c>
      <c r="D863" s="1">
        <v>5755</v>
      </c>
      <c r="E863" s="1">
        <v>125528</v>
      </c>
      <c r="F863" s="2">
        <v>47876</v>
      </c>
    </row>
    <row r="864" spans="1:6" x14ac:dyDescent="0.25">
      <c r="A864">
        <v>2019</v>
      </c>
      <c r="B864" t="s">
        <v>58</v>
      </c>
      <c r="C864" t="s">
        <v>47</v>
      </c>
      <c r="D864" s="1">
        <v>29257</v>
      </c>
      <c r="E864" s="1">
        <v>440255</v>
      </c>
      <c r="F864" s="2">
        <v>50951</v>
      </c>
    </row>
    <row r="865" spans="1:6" x14ac:dyDescent="0.25">
      <c r="A865">
        <v>2019</v>
      </c>
      <c r="B865" t="s">
        <v>58</v>
      </c>
      <c r="C865" t="s">
        <v>48</v>
      </c>
      <c r="D865" s="1">
        <v>3384</v>
      </c>
      <c r="E865" s="1">
        <v>27323</v>
      </c>
      <c r="F865" s="2">
        <v>44083</v>
      </c>
    </row>
    <row r="866" spans="1:6" x14ac:dyDescent="0.25">
      <c r="A866">
        <v>2019</v>
      </c>
      <c r="B866" t="s">
        <v>59</v>
      </c>
      <c r="C866" t="s">
        <v>1</v>
      </c>
      <c r="D866" s="1">
        <v>11180</v>
      </c>
      <c r="E866" s="1">
        <v>208446</v>
      </c>
      <c r="F866" s="2">
        <v>17618</v>
      </c>
    </row>
    <row r="867" spans="1:6" x14ac:dyDescent="0.25">
      <c r="A867">
        <v>2019</v>
      </c>
      <c r="B867" t="s">
        <v>59</v>
      </c>
      <c r="C867" t="s">
        <v>2</v>
      </c>
      <c r="D867" s="1">
        <v>14256</v>
      </c>
      <c r="E867" s="1">
        <v>331295</v>
      </c>
      <c r="F867" s="2">
        <v>25557</v>
      </c>
    </row>
    <row r="868" spans="1:6" x14ac:dyDescent="0.25">
      <c r="A868">
        <v>2019</v>
      </c>
      <c r="B868" t="s">
        <v>59</v>
      </c>
      <c r="C868" t="s">
        <v>3</v>
      </c>
      <c r="D868" s="1">
        <v>7315</v>
      </c>
      <c r="E868" s="1">
        <v>120644</v>
      </c>
      <c r="F868" s="2">
        <v>17299</v>
      </c>
    </row>
    <row r="869" spans="1:6" x14ac:dyDescent="0.25">
      <c r="A869">
        <v>2019</v>
      </c>
      <c r="B869" t="s">
        <v>59</v>
      </c>
      <c r="C869" t="s">
        <v>4</v>
      </c>
      <c r="D869" s="1">
        <v>116191</v>
      </c>
      <c r="E869" s="1">
        <v>2034920</v>
      </c>
      <c r="F869" s="2">
        <v>32379</v>
      </c>
    </row>
    <row r="870" spans="1:6" x14ac:dyDescent="0.25">
      <c r="A870">
        <v>2019</v>
      </c>
      <c r="B870" t="s">
        <v>59</v>
      </c>
      <c r="C870" t="s">
        <v>5</v>
      </c>
      <c r="D870" s="1">
        <v>17317</v>
      </c>
      <c r="E870" s="1">
        <v>344935</v>
      </c>
      <c r="F870" s="2">
        <v>27131</v>
      </c>
    </row>
    <row r="871" spans="1:6" x14ac:dyDescent="0.25">
      <c r="A871">
        <v>2019</v>
      </c>
      <c r="B871" t="s">
        <v>59</v>
      </c>
      <c r="C871" t="s">
        <v>6</v>
      </c>
      <c r="D871" s="1">
        <v>10917</v>
      </c>
      <c r="E871" s="1">
        <v>157574</v>
      </c>
      <c r="F871" s="2">
        <v>24451</v>
      </c>
    </row>
    <row r="872" spans="1:6" x14ac:dyDescent="0.25">
      <c r="A872">
        <v>2019</v>
      </c>
      <c r="B872" t="s">
        <v>59</v>
      </c>
      <c r="C872" t="s">
        <v>7</v>
      </c>
      <c r="D872" s="1">
        <v>2710</v>
      </c>
      <c r="E872" s="1">
        <v>53038</v>
      </c>
      <c r="F872" s="2">
        <v>21264</v>
      </c>
    </row>
    <row r="873" spans="1:6" x14ac:dyDescent="0.25">
      <c r="A873">
        <v>2019</v>
      </c>
      <c r="B873" t="s">
        <v>59</v>
      </c>
      <c r="C873" t="s">
        <v>8</v>
      </c>
      <c r="D873" s="1">
        <v>58596</v>
      </c>
      <c r="E873" s="1">
        <v>1257201</v>
      </c>
      <c r="F873" s="2">
        <v>26675</v>
      </c>
    </row>
    <row r="874" spans="1:6" x14ac:dyDescent="0.25">
      <c r="A874">
        <v>2019</v>
      </c>
      <c r="B874" t="s">
        <v>59</v>
      </c>
      <c r="C874" t="s">
        <v>9</v>
      </c>
      <c r="D874" s="1">
        <v>25254</v>
      </c>
      <c r="E874" s="1">
        <v>498529</v>
      </c>
      <c r="F874" s="2">
        <v>21342</v>
      </c>
    </row>
    <row r="875" spans="1:6" x14ac:dyDescent="0.25">
      <c r="A875">
        <v>2019</v>
      </c>
      <c r="B875" t="s">
        <v>59</v>
      </c>
      <c r="C875" t="s">
        <v>10</v>
      </c>
      <c r="D875" s="1">
        <v>5038</v>
      </c>
      <c r="E875" s="1">
        <v>82521</v>
      </c>
      <c r="F875" s="2">
        <v>17770</v>
      </c>
    </row>
    <row r="876" spans="1:6" x14ac:dyDescent="0.25">
      <c r="A876">
        <v>2019</v>
      </c>
      <c r="B876" t="s">
        <v>59</v>
      </c>
      <c r="C876" t="s">
        <v>11</v>
      </c>
      <c r="D876" s="1">
        <v>33183</v>
      </c>
      <c r="E876" s="1">
        <v>622987</v>
      </c>
      <c r="F876" s="2">
        <v>24703</v>
      </c>
    </row>
    <row r="877" spans="1:6" x14ac:dyDescent="0.25">
      <c r="A877">
        <v>2019</v>
      </c>
      <c r="B877" t="s">
        <v>59</v>
      </c>
      <c r="C877" t="s">
        <v>12</v>
      </c>
      <c r="D877" s="1">
        <v>15776</v>
      </c>
      <c r="E877" s="1">
        <v>313889</v>
      </c>
      <c r="F877" s="2">
        <v>19660</v>
      </c>
    </row>
    <row r="878" spans="1:6" x14ac:dyDescent="0.25">
      <c r="A878">
        <v>2019</v>
      </c>
      <c r="B878" t="s">
        <v>59</v>
      </c>
      <c r="C878" t="s">
        <v>13</v>
      </c>
      <c r="D878" s="1">
        <v>8796</v>
      </c>
      <c r="E878" s="1">
        <v>144265</v>
      </c>
      <c r="F878" s="2">
        <v>17261</v>
      </c>
    </row>
    <row r="879" spans="1:6" x14ac:dyDescent="0.25">
      <c r="A879">
        <v>2019</v>
      </c>
      <c r="B879" t="s">
        <v>59</v>
      </c>
      <c r="C879" t="s">
        <v>14</v>
      </c>
      <c r="D879" s="1">
        <v>6871</v>
      </c>
      <c r="E879" s="1">
        <v>130101</v>
      </c>
      <c r="F879" s="2">
        <v>17333</v>
      </c>
    </row>
    <row r="880" spans="1:6" x14ac:dyDescent="0.25">
      <c r="A880">
        <v>2019</v>
      </c>
      <c r="B880" t="s">
        <v>59</v>
      </c>
      <c r="C880" t="s">
        <v>15</v>
      </c>
      <c r="D880" s="1">
        <v>10118</v>
      </c>
      <c r="E880" s="1">
        <v>201748</v>
      </c>
      <c r="F880" s="2">
        <v>18350</v>
      </c>
    </row>
    <row r="881" spans="1:6" x14ac:dyDescent="0.25">
      <c r="A881">
        <v>2019</v>
      </c>
      <c r="B881" t="s">
        <v>59</v>
      </c>
      <c r="C881" t="s">
        <v>16</v>
      </c>
      <c r="D881" s="1">
        <v>12912</v>
      </c>
      <c r="E881" s="1">
        <v>237469</v>
      </c>
      <c r="F881" s="2">
        <v>21789</v>
      </c>
    </row>
    <row r="882" spans="1:6" x14ac:dyDescent="0.25">
      <c r="A882">
        <v>2019</v>
      </c>
      <c r="B882" t="s">
        <v>59</v>
      </c>
      <c r="C882" t="s">
        <v>17</v>
      </c>
      <c r="D882" s="1">
        <v>5132</v>
      </c>
      <c r="E882" s="1">
        <v>69501</v>
      </c>
      <c r="F882" s="2">
        <v>23169</v>
      </c>
    </row>
    <row r="883" spans="1:6" x14ac:dyDescent="0.25">
      <c r="A883">
        <v>2019</v>
      </c>
      <c r="B883" t="s">
        <v>59</v>
      </c>
      <c r="C883" t="s">
        <v>18</v>
      </c>
      <c r="D883" s="1">
        <v>15043</v>
      </c>
      <c r="E883" s="1">
        <v>282746</v>
      </c>
      <c r="F883" s="2">
        <v>24758</v>
      </c>
    </row>
    <row r="884" spans="1:6" x14ac:dyDescent="0.25">
      <c r="A884">
        <v>2019</v>
      </c>
      <c r="B884" t="s">
        <v>59</v>
      </c>
      <c r="C884" t="s">
        <v>19</v>
      </c>
      <c r="D884" s="1">
        <v>20740</v>
      </c>
      <c r="E884" s="1">
        <v>379863</v>
      </c>
      <c r="F884" s="2">
        <v>29500</v>
      </c>
    </row>
    <row r="885" spans="1:6" x14ac:dyDescent="0.25">
      <c r="A885">
        <v>2019</v>
      </c>
      <c r="B885" t="s">
        <v>59</v>
      </c>
      <c r="C885" t="s">
        <v>20</v>
      </c>
      <c r="D885" s="1">
        <v>23113</v>
      </c>
      <c r="E885" s="1">
        <v>434299</v>
      </c>
      <c r="F885" s="2">
        <v>21121</v>
      </c>
    </row>
    <row r="886" spans="1:6" x14ac:dyDescent="0.25">
      <c r="A886">
        <v>2019</v>
      </c>
      <c r="B886" t="s">
        <v>59</v>
      </c>
      <c r="C886" t="s">
        <v>21</v>
      </c>
      <c r="D886" s="1">
        <v>15325</v>
      </c>
      <c r="E886" s="1">
        <v>275608</v>
      </c>
      <c r="F886" s="2">
        <v>23261</v>
      </c>
    </row>
    <row r="887" spans="1:6" x14ac:dyDescent="0.25">
      <c r="A887">
        <v>2019</v>
      </c>
      <c r="B887" t="s">
        <v>59</v>
      </c>
      <c r="C887" t="s">
        <v>22</v>
      </c>
      <c r="D887" s="1">
        <v>6514</v>
      </c>
      <c r="E887" s="1">
        <v>136282</v>
      </c>
      <c r="F887" s="2">
        <v>17817</v>
      </c>
    </row>
    <row r="888" spans="1:6" x14ac:dyDescent="0.25">
      <c r="A888">
        <v>2019</v>
      </c>
      <c r="B888" t="s">
        <v>59</v>
      </c>
      <c r="C888" t="s">
        <v>23</v>
      </c>
      <c r="D888" s="1">
        <v>15195</v>
      </c>
      <c r="E888" s="1">
        <v>308646</v>
      </c>
      <c r="F888" s="2">
        <v>21614</v>
      </c>
    </row>
    <row r="889" spans="1:6" x14ac:dyDescent="0.25">
      <c r="A889">
        <v>2019</v>
      </c>
      <c r="B889" t="s">
        <v>59</v>
      </c>
      <c r="C889" t="s">
        <v>24</v>
      </c>
      <c r="D889" s="1">
        <v>5052</v>
      </c>
      <c r="E889" s="1">
        <v>67008</v>
      </c>
      <c r="F889" s="2">
        <v>19955</v>
      </c>
    </row>
    <row r="890" spans="1:6" x14ac:dyDescent="0.25">
      <c r="A890">
        <v>2019</v>
      </c>
      <c r="B890" t="s">
        <v>59</v>
      </c>
      <c r="C890" t="s">
        <v>25</v>
      </c>
      <c r="D890" s="1">
        <v>5609</v>
      </c>
      <c r="E890" s="1">
        <v>93856</v>
      </c>
      <c r="F890" s="2">
        <v>17213</v>
      </c>
    </row>
    <row r="891" spans="1:6" x14ac:dyDescent="0.25">
      <c r="A891">
        <v>2019</v>
      </c>
      <c r="B891" t="s">
        <v>59</v>
      </c>
      <c r="C891" t="s">
        <v>26</v>
      </c>
      <c r="D891" s="1">
        <v>8716</v>
      </c>
      <c r="E891" s="1">
        <v>355178</v>
      </c>
      <c r="F891" s="2">
        <v>34432</v>
      </c>
    </row>
    <row r="892" spans="1:6" x14ac:dyDescent="0.25">
      <c r="A892">
        <v>2019</v>
      </c>
      <c r="B892" t="s">
        <v>59</v>
      </c>
      <c r="C892" t="s">
        <v>27</v>
      </c>
      <c r="D892" s="1">
        <v>4675</v>
      </c>
      <c r="E892" s="1">
        <v>73214</v>
      </c>
      <c r="F892" s="2">
        <v>22783</v>
      </c>
    </row>
    <row r="893" spans="1:6" x14ac:dyDescent="0.25">
      <c r="A893">
        <v>2019</v>
      </c>
      <c r="B893" t="s">
        <v>59</v>
      </c>
      <c r="C893" t="s">
        <v>28</v>
      </c>
      <c r="D893" s="1">
        <v>24526</v>
      </c>
      <c r="E893" s="1">
        <v>391519</v>
      </c>
      <c r="F893" s="2">
        <v>26347</v>
      </c>
    </row>
    <row r="894" spans="1:6" x14ac:dyDescent="0.25">
      <c r="A894">
        <v>2019</v>
      </c>
      <c r="B894" t="s">
        <v>59</v>
      </c>
      <c r="C894" t="s">
        <v>29</v>
      </c>
      <c r="D894" s="1">
        <v>5277</v>
      </c>
      <c r="E894" s="1">
        <v>99656</v>
      </c>
      <c r="F894" s="2">
        <v>19571</v>
      </c>
    </row>
    <row r="895" spans="1:6" x14ac:dyDescent="0.25">
      <c r="A895">
        <v>2019</v>
      </c>
      <c r="B895" t="s">
        <v>59</v>
      </c>
      <c r="C895" t="s">
        <v>30</v>
      </c>
      <c r="D895" s="1">
        <v>65868</v>
      </c>
      <c r="E895" s="1">
        <v>957897</v>
      </c>
      <c r="F895" s="2">
        <v>35828</v>
      </c>
    </row>
    <row r="896" spans="1:6" x14ac:dyDescent="0.25">
      <c r="A896">
        <v>2019</v>
      </c>
      <c r="B896" t="s">
        <v>59</v>
      </c>
      <c r="C896" t="s">
        <v>31</v>
      </c>
      <c r="D896" s="1">
        <v>26474</v>
      </c>
      <c r="E896" s="1">
        <v>515152</v>
      </c>
      <c r="F896" s="2">
        <v>20460</v>
      </c>
    </row>
    <row r="897" spans="1:6" x14ac:dyDescent="0.25">
      <c r="A897">
        <v>2019</v>
      </c>
      <c r="B897" t="s">
        <v>59</v>
      </c>
      <c r="C897" t="s">
        <v>32</v>
      </c>
      <c r="D897" s="1">
        <v>2610</v>
      </c>
      <c r="E897" s="1">
        <v>40423</v>
      </c>
      <c r="F897" s="2">
        <v>18573</v>
      </c>
    </row>
    <row r="898" spans="1:6" x14ac:dyDescent="0.25">
      <c r="A898">
        <v>2019</v>
      </c>
      <c r="B898" t="s">
        <v>59</v>
      </c>
      <c r="C898" t="s">
        <v>33</v>
      </c>
      <c r="D898" s="1">
        <v>29035</v>
      </c>
      <c r="E898" s="1">
        <v>570254</v>
      </c>
      <c r="F898" s="2">
        <v>20197</v>
      </c>
    </row>
    <row r="899" spans="1:6" x14ac:dyDescent="0.25">
      <c r="A899">
        <v>2019</v>
      </c>
      <c r="B899" t="s">
        <v>59</v>
      </c>
      <c r="C899" t="s">
        <v>34</v>
      </c>
      <c r="D899" s="1">
        <v>9209</v>
      </c>
      <c r="E899" s="1">
        <v>174213</v>
      </c>
      <c r="F899" s="2">
        <v>18600</v>
      </c>
    </row>
    <row r="900" spans="1:6" x14ac:dyDescent="0.25">
      <c r="A900">
        <v>2019</v>
      </c>
      <c r="B900" t="s">
        <v>59</v>
      </c>
      <c r="C900" t="s">
        <v>35</v>
      </c>
      <c r="D900" s="1">
        <v>14116</v>
      </c>
      <c r="E900" s="1">
        <v>213454</v>
      </c>
      <c r="F900" s="2">
        <v>23818</v>
      </c>
    </row>
    <row r="901" spans="1:6" x14ac:dyDescent="0.25">
      <c r="A901">
        <v>2019</v>
      </c>
      <c r="B901" t="s">
        <v>59</v>
      </c>
      <c r="C901" t="s">
        <v>36</v>
      </c>
      <c r="D901" s="1">
        <v>33729</v>
      </c>
      <c r="E901" s="1">
        <v>577911</v>
      </c>
      <c r="F901" s="2">
        <v>22011</v>
      </c>
    </row>
    <row r="902" spans="1:6" x14ac:dyDescent="0.25">
      <c r="A902">
        <v>2019</v>
      </c>
      <c r="B902" t="s">
        <v>59</v>
      </c>
      <c r="C902" t="s">
        <v>37</v>
      </c>
      <c r="D902" s="1">
        <v>3873</v>
      </c>
      <c r="E902" s="1">
        <v>60008</v>
      </c>
      <c r="F902" s="2">
        <v>23680</v>
      </c>
    </row>
    <row r="903" spans="1:6" x14ac:dyDescent="0.25">
      <c r="A903">
        <v>2019</v>
      </c>
      <c r="B903" t="s">
        <v>59</v>
      </c>
      <c r="C903" t="s">
        <v>38</v>
      </c>
      <c r="D903" s="1">
        <v>13400</v>
      </c>
      <c r="E903" s="1">
        <v>270473</v>
      </c>
      <c r="F903" s="2">
        <v>18816</v>
      </c>
    </row>
    <row r="904" spans="1:6" x14ac:dyDescent="0.25">
      <c r="A904">
        <v>2019</v>
      </c>
      <c r="B904" t="s">
        <v>59</v>
      </c>
      <c r="C904" t="s">
        <v>39</v>
      </c>
      <c r="D904" s="1">
        <v>3191</v>
      </c>
      <c r="E904" s="1">
        <v>47413</v>
      </c>
      <c r="F904" s="2">
        <v>17519</v>
      </c>
    </row>
    <row r="905" spans="1:6" x14ac:dyDescent="0.25">
      <c r="A905">
        <v>2019</v>
      </c>
      <c r="B905" t="s">
        <v>59</v>
      </c>
      <c r="C905" t="s">
        <v>40</v>
      </c>
      <c r="D905" s="1">
        <v>16924</v>
      </c>
      <c r="E905" s="1">
        <v>347181</v>
      </c>
      <c r="F905" s="2">
        <v>23878</v>
      </c>
    </row>
    <row r="906" spans="1:6" x14ac:dyDescent="0.25">
      <c r="A906">
        <v>2019</v>
      </c>
      <c r="B906" t="s">
        <v>59</v>
      </c>
      <c r="C906" t="s">
        <v>41</v>
      </c>
      <c r="D906" s="1">
        <v>65057</v>
      </c>
      <c r="E906" s="1">
        <v>1394036</v>
      </c>
      <c r="F906" s="2">
        <v>22762</v>
      </c>
    </row>
    <row r="907" spans="1:6" x14ac:dyDescent="0.25">
      <c r="A907">
        <v>2019</v>
      </c>
      <c r="B907" t="s">
        <v>59</v>
      </c>
      <c r="C907" t="s">
        <v>42</v>
      </c>
      <c r="D907" s="1">
        <v>7570</v>
      </c>
      <c r="E907" s="1">
        <v>153412</v>
      </c>
      <c r="F907" s="2">
        <v>20955</v>
      </c>
    </row>
    <row r="908" spans="1:6" x14ac:dyDescent="0.25">
      <c r="A908">
        <v>2019</v>
      </c>
      <c r="B908" t="s">
        <v>59</v>
      </c>
      <c r="C908" t="s">
        <v>43</v>
      </c>
      <c r="D908" s="1">
        <v>2268</v>
      </c>
      <c r="E908" s="1">
        <v>37208</v>
      </c>
      <c r="F908" s="2">
        <v>23863</v>
      </c>
    </row>
    <row r="909" spans="1:6" x14ac:dyDescent="0.25">
      <c r="A909">
        <v>2019</v>
      </c>
      <c r="B909" t="s">
        <v>59</v>
      </c>
      <c r="C909" t="s">
        <v>44</v>
      </c>
      <c r="D909" s="1">
        <v>20743</v>
      </c>
      <c r="E909" s="1">
        <v>408354</v>
      </c>
      <c r="F909" s="2">
        <v>21582</v>
      </c>
    </row>
    <row r="910" spans="1:6" x14ac:dyDescent="0.25">
      <c r="A910">
        <v>2019</v>
      </c>
      <c r="B910" t="s">
        <v>59</v>
      </c>
      <c r="C910" t="s">
        <v>45</v>
      </c>
      <c r="D910" s="1">
        <v>20637</v>
      </c>
      <c r="E910" s="1">
        <v>341265</v>
      </c>
      <c r="F910" s="2">
        <v>26566</v>
      </c>
    </row>
    <row r="911" spans="1:6" x14ac:dyDescent="0.25">
      <c r="A911">
        <v>2019</v>
      </c>
      <c r="B911" t="s">
        <v>59</v>
      </c>
      <c r="C911" t="s">
        <v>46</v>
      </c>
      <c r="D911" s="1">
        <v>4658</v>
      </c>
      <c r="E911" s="1">
        <v>75027</v>
      </c>
      <c r="F911" s="2">
        <v>18256</v>
      </c>
    </row>
    <row r="912" spans="1:6" x14ac:dyDescent="0.25">
      <c r="A912">
        <v>2019</v>
      </c>
      <c r="B912" t="s">
        <v>59</v>
      </c>
      <c r="C912" t="s">
        <v>47</v>
      </c>
      <c r="D912" s="1">
        <v>17015</v>
      </c>
      <c r="E912" s="1">
        <v>285279</v>
      </c>
      <c r="F912" s="2">
        <v>18758</v>
      </c>
    </row>
    <row r="913" spans="1:6" x14ac:dyDescent="0.25">
      <c r="A913">
        <v>2019</v>
      </c>
      <c r="B913" t="s">
        <v>59</v>
      </c>
      <c r="C913" t="s">
        <v>48</v>
      </c>
      <c r="D913" s="1">
        <v>2398</v>
      </c>
      <c r="E913" s="1">
        <v>37041</v>
      </c>
      <c r="F913" s="2">
        <v>21994</v>
      </c>
    </row>
    <row r="914" spans="1:6" x14ac:dyDescent="0.25">
      <c r="A914">
        <v>2019</v>
      </c>
      <c r="B914" t="s">
        <v>60</v>
      </c>
      <c r="C914" t="s">
        <v>1</v>
      </c>
      <c r="D914" s="1">
        <v>10189</v>
      </c>
      <c r="E914" s="1">
        <v>46816</v>
      </c>
      <c r="F914" s="2">
        <v>38607</v>
      </c>
    </row>
    <row r="915" spans="1:6" x14ac:dyDescent="0.25">
      <c r="A915">
        <v>2019</v>
      </c>
      <c r="B915" t="s">
        <v>60</v>
      </c>
      <c r="C915" t="s">
        <v>2</v>
      </c>
      <c r="D915" s="1">
        <v>10674</v>
      </c>
      <c r="E915" s="1">
        <v>75782</v>
      </c>
      <c r="F915" s="2">
        <v>39965</v>
      </c>
    </row>
    <row r="916" spans="1:6" x14ac:dyDescent="0.25">
      <c r="A916">
        <v>2019</v>
      </c>
      <c r="B916" t="s">
        <v>60</v>
      </c>
      <c r="C916" t="s">
        <v>3</v>
      </c>
      <c r="D916" s="1">
        <v>5359</v>
      </c>
      <c r="E916" s="1">
        <v>25279</v>
      </c>
      <c r="F916" s="2">
        <v>36115</v>
      </c>
    </row>
    <row r="917" spans="1:6" x14ac:dyDescent="0.25">
      <c r="A917">
        <v>2019</v>
      </c>
      <c r="B917" t="s">
        <v>60</v>
      </c>
      <c r="C917" t="s">
        <v>4</v>
      </c>
      <c r="D917" s="1">
        <v>97442</v>
      </c>
      <c r="E917" s="1">
        <v>547972</v>
      </c>
      <c r="F917" s="2">
        <v>42293</v>
      </c>
    </row>
    <row r="918" spans="1:6" x14ac:dyDescent="0.25">
      <c r="A918">
        <v>2019</v>
      </c>
      <c r="B918" t="s">
        <v>60</v>
      </c>
      <c r="C918" t="s">
        <v>5</v>
      </c>
      <c r="D918" s="1">
        <v>17008</v>
      </c>
      <c r="E918" s="1">
        <v>84571</v>
      </c>
      <c r="F918" s="2">
        <v>42381</v>
      </c>
    </row>
    <row r="919" spans="1:6" x14ac:dyDescent="0.25">
      <c r="A919">
        <v>2019</v>
      </c>
      <c r="B919" t="s">
        <v>60</v>
      </c>
      <c r="C919" t="s">
        <v>6</v>
      </c>
      <c r="D919" s="1">
        <v>18146</v>
      </c>
      <c r="E919" s="1">
        <v>66497</v>
      </c>
      <c r="F919" s="2">
        <v>34861</v>
      </c>
    </row>
    <row r="920" spans="1:6" x14ac:dyDescent="0.25">
      <c r="A920">
        <v>2019</v>
      </c>
      <c r="B920" t="s">
        <v>60</v>
      </c>
      <c r="C920" t="s">
        <v>7</v>
      </c>
      <c r="D920" s="1">
        <v>2052</v>
      </c>
      <c r="E920" s="1">
        <v>12125</v>
      </c>
      <c r="F920" s="2">
        <v>35636</v>
      </c>
    </row>
    <row r="921" spans="1:6" x14ac:dyDescent="0.25">
      <c r="A921">
        <v>2019</v>
      </c>
      <c r="B921" t="s">
        <v>60</v>
      </c>
      <c r="C921" t="s">
        <v>8</v>
      </c>
      <c r="D921" s="1">
        <v>56765</v>
      </c>
      <c r="E921" s="1">
        <v>281975</v>
      </c>
      <c r="F921" s="2">
        <v>37969</v>
      </c>
    </row>
    <row r="922" spans="1:6" x14ac:dyDescent="0.25">
      <c r="A922">
        <v>2019</v>
      </c>
      <c r="B922" t="s">
        <v>60</v>
      </c>
      <c r="C922" t="s">
        <v>9</v>
      </c>
      <c r="D922" s="1">
        <v>18227</v>
      </c>
      <c r="E922" s="1">
        <v>111902</v>
      </c>
      <c r="F922" s="2">
        <v>37971</v>
      </c>
    </row>
    <row r="923" spans="1:6" x14ac:dyDescent="0.25">
      <c r="A923">
        <v>2019</v>
      </c>
      <c r="B923" t="s">
        <v>60</v>
      </c>
      <c r="C923" t="s">
        <v>10</v>
      </c>
      <c r="D923" s="1">
        <v>3845</v>
      </c>
      <c r="E923" s="1">
        <v>19414</v>
      </c>
      <c r="F923" s="2">
        <v>32615</v>
      </c>
    </row>
    <row r="924" spans="1:6" x14ac:dyDescent="0.25">
      <c r="A924">
        <v>2019</v>
      </c>
      <c r="B924" t="s">
        <v>60</v>
      </c>
      <c r="C924" t="s">
        <v>11</v>
      </c>
      <c r="D924" s="1">
        <v>39884</v>
      </c>
      <c r="E924" s="1">
        <v>209967</v>
      </c>
      <c r="F924" s="2">
        <v>43714</v>
      </c>
    </row>
    <row r="925" spans="1:6" x14ac:dyDescent="0.25">
      <c r="A925">
        <v>2019</v>
      </c>
      <c r="B925" t="s">
        <v>60</v>
      </c>
      <c r="C925" t="s">
        <v>12</v>
      </c>
      <c r="D925" s="1">
        <v>12916</v>
      </c>
      <c r="E925" s="1">
        <v>89273</v>
      </c>
      <c r="F925" s="2">
        <v>33759</v>
      </c>
    </row>
    <row r="926" spans="1:6" x14ac:dyDescent="0.25">
      <c r="A926">
        <v>2019</v>
      </c>
      <c r="B926" t="s">
        <v>60</v>
      </c>
      <c r="C926" t="s">
        <v>13</v>
      </c>
      <c r="D926" s="1">
        <v>8547</v>
      </c>
      <c r="E926" s="1">
        <v>42519</v>
      </c>
      <c r="F926" s="2">
        <v>36534</v>
      </c>
    </row>
    <row r="927" spans="1:6" x14ac:dyDescent="0.25">
      <c r="A927">
        <v>2019</v>
      </c>
      <c r="B927" t="s">
        <v>60</v>
      </c>
      <c r="C927" t="s">
        <v>14</v>
      </c>
      <c r="D927" s="1">
        <v>5938</v>
      </c>
      <c r="E927" s="1">
        <v>34833</v>
      </c>
      <c r="F927" s="2">
        <v>35624</v>
      </c>
    </row>
    <row r="928" spans="1:6" x14ac:dyDescent="0.25">
      <c r="A928">
        <v>2019</v>
      </c>
      <c r="B928" t="s">
        <v>60</v>
      </c>
      <c r="C928" t="s">
        <v>15</v>
      </c>
      <c r="D928" s="1">
        <v>10404</v>
      </c>
      <c r="E928" s="1">
        <v>46571</v>
      </c>
      <c r="F928" s="2">
        <v>34846</v>
      </c>
    </row>
    <row r="929" spans="1:6" x14ac:dyDescent="0.25">
      <c r="A929">
        <v>2019</v>
      </c>
      <c r="B929" t="s">
        <v>60</v>
      </c>
      <c r="C929" t="s">
        <v>16</v>
      </c>
      <c r="D929" s="1">
        <v>9280</v>
      </c>
      <c r="E929" s="1">
        <v>46391</v>
      </c>
      <c r="F929" s="2">
        <v>38963</v>
      </c>
    </row>
    <row r="930" spans="1:6" x14ac:dyDescent="0.25">
      <c r="A930">
        <v>2019</v>
      </c>
      <c r="B930" t="s">
        <v>60</v>
      </c>
      <c r="C930" t="s">
        <v>17</v>
      </c>
      <c r="D930" s="1">
        <v>3777</v>
      </c>
      <c r="E930" s="1">
        <v>17863</v>
      </c>
      <c r="F930" s="2">
        <v>35322</v>
      </c>
    </row>
    <row r="931" spans="1:6" x14ac:dyDescent="0.25">
      <c r="A931">
        <v>2019</v>
      </c>
      <c r="B931" t="s">
        <v>60</v>
      </c>
      <c r="C931" t="s">
        <v>18</v>
      </c>
      <c r="D931" s="1">
        <v>19358</v>
      </c>
      <c r="E931" s="1">
        <v>91545</v>
      </c>
      <c r="F931" s="2">
        <v>44150</v>
      </c>
    </row>
    <row r="932" spans="1:6" x14ac:dyDescent="0.25">
      <c r="A932">
        <v>2019</v>
      </c>
      <c r="B932" t="s">
        <v>60</v>
      </c>
      <c r="C932" t="s">
        <v>19</v>
      </c>
      <c r="D932" s="1">
        <v>22046</v>
      </c>
      <c r="E932" s="1">
        <v>121404</v>
      </c>
      <c r="F932" s="2">
        <v>40421</v>
      </c>
    </row>
    <row r="933" spans="1:6" x14ac:dyDescent="0.25">
      <c r="A933">
        <v>2019</v>
      </c>
      <c r="B933" t="s">
        <v>60</v>
      </c>
      <c r="C933" t="s">
        <v>20</v>
      </c>
      <c r="D933" s="1">
        <v>32480</v>
      </c>
      <c r="E933" s="1">
        <v>140352</v>
      </c>
      <c r="F933" s="2">
        <v>34330</v>
      </c>
    </row>
    <row r="934" spans="1:6" x14ac:dyDescent="0.25">
      <c r="A934">
        <v>2019</v>
      </c>
      <c r="B934" t="s">
        <v>60</v>
      </c>
      <c r="C934" t="s">
        <v>21</v>
      </c>
      <c r="D934" s="1">
        <v>17266</v>
      </c>
      <c r="E934" s="1">
        <v>91238</v>
      </c>
      <c r="F934" s="2">
        <v>35478</v>
      </c>
    </row>
    <row r="935" spans="1:6" x14ac:dyDescent="0.25">
      <c r="A935">
        <v>2019</v>
      </c>
      <c r="B935" t="s">
        <v>60</v>
      </c>
      <c r="C935" t="s">
        <v>22</v>
      </c>
      <c r="D935" s="1">
        <v>4589</v>
      </c>
      <c r="E935" s="1">
        <v>21043</v>
      </c>
      <c r="F935" s="2">
        <v>36243</v>
      </c>
    </row>
    <row r="936" spans="1:6" x14ac:dyDescent="0.25">
      <c r="A936">
        <v>2019</v>
      </c>
      <c r="B936" t="s">
        <v>60</v>
      </c>
      <c r="C936" t="s">
        <v>23</v>
      </c>
      <c r="D936" s="1">
        <v>13240</v>
      </c>
      <c r="E936" s="1">
        <v>75829</v>
      </c>
      <c r="F936" s="2">
        <v>35224</v>
      </c>
    </row>
    <row r="937" spans="1:6" x14ac:dyDescent="0.25">
      <c r="A937">
        <v>2019</v>
      </c>
      <c r="B937" t="s">
        <v>60</v>
      </c>
      <c r="C937" t="s">
        <v>24</v>
      </c>
      <c r="D937" s="1">
        <v>4153</v>
      </c>
      <c r="E937" s="1">
        <v>18442</v>
      </c>
      <c r="F937" s="2">
        <v>31791</v>
      </c>
    </row>
    <row r="938" spans="1:6" x14ac:dyDescent="0.25">
      <c r="A938">
        <v>2019</v>
      </c>
      <c r="B938" t="s">
        <v>60</v>
      </c>
      <c r="C938" t="s">
        <v>25</v>
      </c>
      <c r="D938" s="1">
        <v>4572</v>
      </c>
      <c r="E938" s="1">
        <v>25509</v>
      </c>
      <c r="F938" s="2">
        <v>33587</v>
      </c>
    </row>
    <row r="939" spans="1:6" x14ac:dyDescent="0.25">
      <c r="A939">
        <v>2019</v>
      </c>
      <c r="B939" t="s">
        <v>60</v>
      </c>
      <c r="C939" t="s">
        <v>26</v>
      </c>
      <c r="D939" s="1">
        <v>5140</v>
      </c>
      <c r="E939" s="1">
        <v>35449</v>
      </c>
      <c r="F939" s="2">
        <v>38479</v>
      </c>
    </row>
    <row r="940" spans="1:6" x14ac:dyDescent="0.25">
      <c r="A940">
        <v>2019</v>
      </c>
      <c r="B940" t="s">
        <v>60</v>
      </c>
      <c r="C940" t="s">
        <v>27</v>
      </c>
      <c r="D940" s="1">
        <v>4011</v>
      </c>
      <c r="E940" s="1">
        <v>21600</v>
      </c>
      <c r="F940" s="2">
        <v>39236</v>
      </c>
    </row>
    <row r="941" spans="1:6" x14ac:dyDescent="0.25">
      <c r="A941">
        <v>2019</v>
      </c>
      <c r="B941" t="s">
        <v>60</v>
      </c>
      <c r="C941" t="s">
        <v>28</v>
      </c>
      <c r="D941" s="1">
        <v>24469</v>
      </c>
      <c r="E941" s="1">
        <v>138255</v>
      </c>
      <c r="F941" s="2">
        <v>37373</v>
      </c>
    </row>
    <row r="942" spans="1:6" x14ac:dyDescent="0.25">
      <c r="A942">
        <v>2019</v>
      </c>
      <c r="B942" t="s">
        <v>60</v>
      </c>
      <c r="C942" t="s">
        <v>29</v>
      </c>
      <c r="D942" s="1">
        <v>4216</v>
      </c>
      <c r="E942" s="1">
        <v>21214</v>
      </c>
      <c r="F942" s="2">
        <v>35417</v>
      </c>
    </row>
    <row r="943" spans="1:6" x14ac:dyDescent="0.25">
      <c r="A943">
        <v>2019</v>
      </c>
      <c r="B943" t="s">
        <v>60</v>
      </c>
      <c r="C943" t="s">
        <v>30</v>
      </c>
      <c r="D943" s="1">
        <v>72430</v>
      </c>
      <c r="E943" s="1">
        <v>371218</v>
      </c>
      <c r="F943" s="2">
        <v>43410</v>
      </c>
    </row>
    <row r="944" spans="1:6" x14ac:dyDescent="0.25">
      <c r="A944">
        <v>2019</v>
      </c>
      <c r="B944" t="s">
        <v>60</v>
      </c>
      <c r="C944" t="s">
        <v>31</v>
      </c>
      <c r="D944" s="1">
        <v>24457</v>
      </c>
      <c r="E944" s="1">
        <v>115119</v>
      </c>
      <c r="F944" s="2">
        <v>36624</v>
      </c>
    </row>
    <row r="945" spans="1:6" x14ac:dyDescent="0.25">
      <c r="A945">
        <v>2019</v>
      </c>
      <c r="B945" t="s">
        <v>60</v>
      </c>
      <c r="C945" t="s">
        <v>32</v>
      </c>
      <c r="D945" s="1">
        <v>2047</v>
      </c>
      <c r="E945" s="1">
        <v>11337</v>
      </c>
      <c r="F945" s="2">
        <v>38696</v>
      </c>
    </row>
    <row r="946" spans="1:6" x14ac:dyDescent="0.25">
      <c r="A946">
        <v>2019</v>
      </c>
      <c r="B946" t="s">
        <v>60</v>
      </c>
      <c r="C946" t="s">
        <v>33</v>
      </c>
      <c r="D946" s="1">
        <v>23639</v>
      </c>
      <c r="E946" s="1">
        <v>157001</v>
      </c>
      <c r="F946" s="2">
        <v>35006</v>
      </c>
    </row>
    <row r="947" spans="1:6" x14ac:dyDescent="0.25">
      <c r="A947">
        <v>2019</v>
      </c>
      <c r="B947" t="s">
        <v>60</v>
      </c>
      <c r="C947" t="s">
        <v>34</v>
      </c>
      <c r="D947" s="1">
        <v>6589</v>
      </c>
      <c r="E947" s="1">
        <v>36706</v>
      </c>
      <c r="F947" s="2">
        <v>36151</v>
      </c>
    </row>
    <row r="948" spans="1:6" x14ac:dyDescent="0.25">
      <c r="A948">
        <v>2019</v>
      </c>
      <c r="B948" t="s">
        <v>60</v>
      </c>
      <c r="C948" t="s">
        <v>35</v>
      </c>
      <c r="D948" s="1">
        <v>25468</v>
      </c>
      <c r="E948" s="1">
        <v>78423</v>
      </c>
      <c r="F948" s="2">
        <v>35467</v>
      </c>
    </row>
    <row r="949" spans="1:6" x14ac:dyDescent="0.25">
      <c r="A949">
        <v>2019</v>
      </c>
      <c r="B949" t="s">
        <v>60</v>
      </c>
      <c r="C949" t="s">
        <v>36</v>
      </c>
      <c r="D949" s="1">
        <v>33082</v>
      </c>
      <c r="E949" s="1">
        <v>202171</v>
      </c>
      <c r="F949" s="2">
        <v>35131</v>
      </c>
    </row>
    <row r="950" spans="1:6" x14ac:dyDescent="0.25">
      <c r="A950">
        <v>2019</v>
      </c>
      <c r="B950" t="s">
        <v>60</v>
      </c>
      <c r="C950" t="s">
        <v>37</v>
      </c>
      <c r="D950" s="1">
        <v>3537</v>
      </c>
      <c r="E950" s="1">
        <v>18157</v>
      </c>
      <c r="F950" s="2">
        <v>34466</v>
      </c>
    </row>
    <row r="951" spans="1:6" x14ac:dyDescent="0.25">
      <c r="A951">
        <v>2019</v>
      </c>
      <c r="B951" t="s">
        <v>60</v>
      </c>
      <c r="C951" t="s">
        <v>38</v>
      </c>
      <c r="D951" s="1">
        <v>12142</v>
      </c>
      <c r="E951" s="1">
        <v>54906</v>
      </c>
      <c r="F951" s="2">
        <v>34386</v>
      </c>
    </row>
    <row r="952" spans="1:6" x14ac:dyDescent="0.25">
      <c r="A952">
        <v>2019</v>
      </c>
      <c r="B952" t="s">
        <v>60</v>
      </c>
      <c r="C952" t="s">
        <v>39</v>
      </c>
      <c r="D952" s="1">
        <v>2223</v>
      </c>
      <c r="E952" s="1">
        <v>11326</v>
      </c>
      <c r="F952" s="2">
        <v>34233</v>
      </c>
    </row>
    <row r="953" spans="1:6" x14ac:dyDescent="0.25">
      <c r="A953">
        <v>2019</v>
      </c>
      <c r="B953" t="s">
        <v>60</v>
      </c>
      <c r="C953" t="s">
        <v>40</v>
      </c>
      <c r="D953" s="1">
        <v>15931</v>
      </c>
      <c r="E953" s="1">
        <v>80484</v>
      </c>
      <c r="F953" s="2">
        <v>36227</v>
      </c>
    </row>
    <row r="954" spans="1:6" x14ac:dyDescent="0.25">
      <c r="A954">
        <v>2019</v>
      </c>
      <c r="B954" t="s">
        <v>60</v>
      </c>
      <c r="C954" t="s">
        <v>41</v>
      </c>
      <c r="D954" s="1">
        <v>57504</v>
      </c>
      <c r="E954" s="1">
        <v>343287</v>
      </c>
      <c r="F954" s="2">
        <v>41110</v>
      </c>
    </row>
    <row r="955" spans="1:6" x14ac:dyDescent="0.25">
      <c r="A955">
        <v>2019</v>
      </c>
      <c r="B955" t="s">
        <v>60</v>
      </c>
      <c r="C955" t="s">
        <v>42</v>
      </c>
      <c r="D955" s="1">
        <v>6492</v>
      </c>
      <c r="E955" s="1">
        <v>37200</v>
      </c>
      <c r="F955" s="2">
        <v>37389</v>
      </c>
    </row>
    <row r="956" spans="1:6" x14ac:dyDescent="0.25">
      <c r="A956">
        <v>2019</v>
      </c>
      <c r="B956" t="s">
        <v>60</v>
      </c>
      <c r="C956" t="s">
        <v>43</v>
      </c>
      <c r="D956" s="1">
        <v>1990</v>
      </c>
      <c r="E956" s="1">
        <v>8772</v>
      </c>
      <c r="F956" s="2">
        <v>37394</v>
      </c>
    </row>
    <row r="957" spans="1:6" x14ac:dyDescent="0.25">
      <c r="A957">
        <v>2019</v>
      </c>
      <c r="B957" t="s">
        <v>60</v>
      </c>
      <c r="C957" t="s">
        <v>44</v>
      </c>
      <c r="D957" s="1">
        <v>29777</v>
      </c>
      <c r="E957" s="1">
        <v>140456</v>
      </c>
      <c r="F957" s="2">
        <v>45136</v>
      </c>
    </row>
    <row r="958" spans="1:6" x14ac:dyDescent="0.25">
      <c r="A958">
        <v>2019</v>
      </c>
      <c r="B958" t="s">
        <v>60</v>
      </c>
      <c r="C958" t="s">
        <v>45</v>
      </c>
      <c r="D958" s="1">
        <v>19915</v>
      </c>
      <c r="E958" s="1">
        <v>102632</v>
      </c>
      <c r="F958" s="2">
        <v>42585</v>
      </c>
    </row>
    <row r="959" spans="1:6" x14ac:dyDescent="0.25">
      <c r="A959">
        <v>2019</v>
      </c>
      <c r="B959" t="s">
        <v>60</v>
      </c>
      <c r="C959" t="s">
        <v>46</v>
      </c>
      <c r="D959" s="1">
        <v>5797</v>
      </c>
      <c r="E959" s="1">
        <v>20164</v>
      </c>
      <c r="F959" s="2">
        <v>32080</v>
      </c>
    </row>
    <row r="960" spans="1:6" x14ac:dyDescent="0.25">
      <c r="A960">
        <v>2019</v>
      </c>
      <c r="B960" t="s">
        <v>60</v>
      </c>
      <c r="C960" t="s">
        <v>47</v>
      </c>
      <c r="D960" s="1">
        <v>13757</v>
      </c>
      <c r="E960" s="1">
        <v>84267</v>
      </c>
      <c r="F960" s="2">
        <v>31908</v>
      </c>
    </row>
    <row r="961" spans="1:6" x14ac:dyDescent="0.25">
      <c r="A961">
        <v>2019</v>
      </c>
      <c r="B961" t="s">
        <v>60</v>
      </c>
      <c r="C961" t="s">
        <v>48</v>
      </c>
      <c r="D961" s="1">
        <v>1655</v>
      </c>
      <c r="E961" s="1">
        <v>7188</v>
      </c>
      <c r="F961" s="2">
        <v>39255</v>
      </c>
    </row>
    <row r="962" spans="1:6" x14ac:dyDescent="0.25">
      <c r="A962">
        <v>2018</v>
      </c>
      <c r="B962" t="s">
        <v>55</v>
      </c>
      <c r="C962" t="s">
        <v>1</v>
      </c>
      <c r="D962" s="1">
        <v>1843</v>
      </c>
      <c r="E962" s="1">
        <v>18397</v>
      </c>
      <c r="F962" s="2">
        <v>56388</v>
      </c>
    </row>
    <row r="963" spans="1:6" x14ac:dyDescent="0.25">
      <c r="A963">
        <v>2018</v>
      </c>
      <c r="B963" t="s">
        <v>55</v>
      </c>
      <c r="C963" t="s">
        <v>2</v>
      </c>
      <c r="D963" s="1">
        <v>1328</v>
      </c>
      <c r="E963" s="1">
        <v>38653</v>
      </c>
      <c r="F963" s="2">
        <v>50854</v>
      </c>
    </row>
    <row r="964" spans="1:6" x14ac:dyDescent="0.25">
      <c r="A964">
        <v>2018</v>
      </c>
      <c r="B964" t="s">
        <v>55</v>
      </c>
      <c r="C964" t="s">
        <v>3</v>
      </c>
      <c r="D964" s="1">
        <v>2525</v>
      </c>
      <c r="E964" s="1">
        <v>16334</v>
      </c>
      <c r="F964" s="2">
        <v>47616</v>
      </c>
    </row>
    <row r="965" spans="1:6" x14ac:dyDescent="0.25">
      <c r="A965">
        <v>2018</v>
      </c>
      <c r="B965" t="s">
        <v>55</v>
      </c>
      <c r="C965" t="s">
        <v>4</v>
      </c>
      <c r="D965" s="1">
        <v>17605</v>
      </c>
      <c r="E965" s="1">
        <v>443542</v>
      </c>
      <c r="F965" s="2">
        <v>38595</v>
      </c>
    </row>
    <row r="966" spans="1:6" x14ac:dyDescent="0.25">
      <c r="A966">
        <v>2018</v>
      </c>
      <c r="B966" t="s">
        <v>55</v>
      </c>
      <c r="C966" t="s">
        <v>5</v>
      </c>
      <c r="D966" s="1">
        <v>3256</v>
      </c>
      <c r="E966" s="1">
        <v>46357</v>
      </c>
      <c r="F966" s="2">
        <v>88489</v>
      </c>
    </row>
    <row r="967" spans="1:6" x14ac:dyDescent="0.25">
      <c r="A967">
        <v>2018</v>
      </c>
      <c r="B967" t="s">
        <v>55</v>
      </c>
      <c r="C967" t="s">
        <v>6</v>
      </c>
      <c r="D967">
        <v>441</v>
      </c>
      <c r="E967" s="1">
        <v>5272</v>
      </c>
      <c r="F967" s="2">
        <v>40054</v>
      </c>
    </row>
    <row r="968" spans="1:6" x14ac:dyDescent="0.25">
      <c r="A968">
        <v>2018</v>
      </c>
      <c r="B968" t="s">
        <v>55</v>
      </c>
      <c r="C968" t="s">
        <v>7</v>
      </c>
      <c r="D968">
        <v>177</v>
      </c>
      <c r="E968" s="1">
        <v>1535</v>
      </c>
      <c r="F968" s="2">
        <v>39987</v>
      </c>
    </row>
    <row r="969" spans="1:6" x14ac:dyDescent="0.25">
      <c r="A969">
        <v>2018</v>
      </c>
      <c r="B969" t="s">
        <v>55</v>
      </c>
      <c r="C969" t="s">
        <v>8</v>
      </c>
      <c r="D969" s="1">
        <v>5289</v>
      </c>
      <c r="E969" s="1">
        <v>72507</v>
      </c>
      <c r="F969" s="2">
        <v>34681</v>
      </c>
    </row>
    <row r="970" spans="1:6" x14ac:dyDescent="0.25">
      <c r="A970">
        <v>2018</v>
      </c>
      <c r="B970" t="s">
        <v>55</v>
      </c>
      <c r="C970" t="s">
        <v>9</v>
      </c>
      <c r="D970" s="1">
        <v>2630</v>
      </c>
      <c r="E970" s="1">
        <v>29395</v>
      </c>
      <c r="F970" s="2">
        <v>42010</v>
      </c>
    </row>
    <row r="971" spans="1:6" x14ac:dyDescent="0.25">
      <c r="A971">
        <v>2018</v>
      </c>
      <c r="B971" t="s">
        <v>55</v>
      </c>
      <c r="C971" t="s">
        <v>10</v>
      </c>
      <c r="D971" s="1">
        <v>2500</v>
      </c>
      <c r="E971" s="1">
        <v>26636</v>
      </c>
      <c r="F971" s="2">
        <v>39998</v>
      </c>
    </row>
    <row r="972" spans="1:6" x14ac:dyDescent="0.25">
      <c r="A972">
        <v>2018</v>
      </c>
      <c r="B972" t="s">
        <v>55</v>
      </c>
      <c r="C972" t="s">
        <v>11</v>
      </c>
      <c r="D972" s="1">
        <v>2785</v>
      </c>
      <c r="E972" s="1">
        <v>26452</v>
      </c>
      <c r="F972" s="2">
        <v>50101</v>
      </c>
    </row>
    <row r="973" spans="1:6" x14ac:dyDescent="0.25">
      <c r="A973">
        <v>2018</v>
      </c>
      <c r="B973" t="s">
        <v>55</v>
      </c>
      <c r="C973" t="s">
        <v>12</v>
      </c>
      <c r="D973" s="1">
        <v>2217</v>
      </c>
      <c r="E973" s="1">
        <v>21236</v>
      </c>
      <c r="F973" s="2">
        <v>48605</v>
      </c>
    </row>
    <row r="974" spans="1:6" x14ac:dyDescent="0.25">
      <c r="A974">
        <v>2018</v>
      </c>
      <c r="B974" t="s">
        <v>55</v>
      </c>
      <c r="C974" t="s">
        <v>13</v>
      </c>
      <c r="D974" s="1">
        <v>2830</v>
      </c>
      <c r="E974" s="1">
        <v>23077</v>
      </c>
      <c r="F974" s="2">
        <v>42989</v>
      </c>
    </row>
    <row r="975" spans="1:6" x14ac:dyDescent="0.25">
      <c r="A975">
        <v>2018</v>
      </c>
      <c r="B975" t="s">
        <v>55</v>
      </c>
      <c r="C975" t="s">
        <v>14</v>
      </c>
      <c r="D975" s="1">
        <v>2658</v>
      </c>
      <c r="E975" s="1">
        <v>19284</v>
      </c>
      <c r="F975" s="2">
        <v>47004</v>
      </c>
    </row>
    <row r="976" spans="1:6" x14ac:dyDescent="0.25">
      <c r="A976">
        <v>2018</v>
      </c>
      <c r="B976" t="s">
        <v>55</v>
      </c>
      <c r="C976" t="s">
        <v>15</v>
      </c>
      <c r="D976" s="1">
        <v>1559</v>
      </c>
      <c r="E976" s="1">
        <v>18569</v>
      </c>
      <c r="F976" s="2">
        <v>56223</v>
      </c>
    </row>
    <row r="977" spans="1:6" x14ac:dyDescent="0.25">
      <c r="A977">
        <v>2018</v>
      </c>
      <c r="B977" t="s">
        <v>55</v>
      </c>
      <c r="C977" t="s">
        <v>16</v>
      </c>
      <c r="D977" s="1">
        <v>3089</v>
      </c>
      <c r="E977" s="1">
        <v>43598</v>
      </c>
      <c r="F977" s="2">
        <v>84277</v>
      </c>
    </row>
    <row r="978" spans="1:6" x14ac:dyDescent="0.25">
      <c r="A978">
        <v>2018</v>
      </c>
      <c r="B978" t="s">
        <v>55</v>
      </c>
      <c r="C978" t="s">
        <v>17</v>
      </c>
      <c r="D978" s="1">
        <v>1372</v>
      </c>
      <c r="E978" s="1">
        <v>7143</v>
      </c>
      <c r="F978" s="2">
        <v>41187</v>
      </c>
    </row>
    <row r="979" spans="1:6" x14ac:dyDescent="0.25">
      <c r="A979">
        <v>2018</v>
      </c>
      <c r="B979" t="s">
        <v>55</v>
      </c>
      <c r="C979" t="s">
        <v>18</v>
      </c>
      <c r="D979">
        <v>723</v>
      </c>
      <c r="E979" s="1">
        <v>6447</v>
      </c>
      <c r="F979" s="2">
        <v>43100</v>
      </c>
    </row>
    <row r="980" spans="1:6" x14ac:dyDescent="0.25">
      <c r="A980">
        <v>2018</v>
      </c>
      <c r="B980" t="s">
        <v>55</v>
      </c>
      <c r="C980" t="s">
        <v>19</v>
      </c>
      <c r="D980">
        <v>985</v>
      </c>
      <c r="E980" s="1">
        <v>9626</v>
      </c>
      <c r="F980" s="2">
        <v>61244</v>
      </c>
    </row>
    <row r="981" spans="1:6" x14ac:dyDescent="0.25">
      <c r="A981">
        <v>2018</v>
      </c>
      <c r="B981" t="s">
        <v>55</v>
      </c>
      <c r="C981" t="s">
        <v>20</v>
      </c>
      <c r="D981" s="1">
        <v>3282</v>
      </c>
      <c r="E981" s="1">
        <v>35874</v>
      </c>
      <c r="F981" s="2">
        <v>40516</v>
      </c>
    </row>
    <row r="982" spans="1:6" x14ac:dyDescent="0.25">
      <c r="A982">
        <v>2018</v>
      </c>
      <c r="B982" t="s">
        <v>55</v>
      </c>
      <c r="C982" t="s">
        <v>21</v>
      </c>
      <c r="D982" s="1">
        <v>3071</v>
      </c>
      <c r="E982" s="1">
        <v>27642</v>
      </c>
      <c r="F982" s="2">
        <v>50521</v>
      </c>
    </row>
    <row r="983" spans="1:6" x14ac:dyDescent="0.25">
      <c r="A983">
        <v>2018</v>
      </c>
      <c r="B983" t="s">
        <v>55</v>
      </c>
      <c r="C983" t="s">
        <v>22</v>
      </c>
      <c r="D983" s="1">
        <v>2153</v>
      </c>
      <c r="E983" s="1">
        <v>16234</v>
      </c>
      <c r="F983" s="2">
        <v>47028</v>
      </c>
    </row>
    <row r="984" spans="1:6" x14ac:dyDescent="0.25">
      <c r="A984">
        <v>2018</v>
      </c>
      <c r="B984" t="s">
        <v>55</v>
      </c>
      <c r="C984" t="s">
        <v>23</v>
      </c>
      <c r="D984" s="1">
        <v>1935</v>
      </c>
      <c r="E984" s="1">
        <v>16642</v>
      </c>
      <c r="F984" s="2">
        <v>43331</v>
      </c>
    </row>
    <row r="985" spans="1:6" x14ac:dyDescent="0.25">
      <c r="A985">
        <v>2018</v>
      </c>
      <c r="B985" t="s">
        <v>55</v>
      </c>
      <c r="C985" t="s">
        <v>24</v>
      </c>
      <c r="D985" s="1">
        <v>1771</v>
      </c>
      <c r="E985" s="1">
        <v>12503</v>
      </c>
      <c r="F985" s="2">
        <v>67090</v>
      </c>
    </row>
    <row r="986" spans="1:6" x14ac:dyDescent="0.25">
      <c r="A986">
        <v>2018</v>
      </c>
      <c r="B986" t="s">
        <v>55</v>
      </c>
      <c r="C986" t="s">
        <v>25</v>
      </c>
      <c r="D986" s="1">
        <v>2378</v>
      </c>
      <c r="E986" s="1">
        <v>15823</v>
      </c>
      <c r="F986" s="2">
        <v>41084</v>
      </c>
    </row>
    <row r="987" spans="1:6" x14ac:dyDescent="0.25">
      <c r="A987">
        <v>2018</v>
      </c>
      <c r="B987" t="s">
        <v>55</v>
      </c>
      <c r="C987" t="s">
        <v>26</v>
      </c>
      <c r="D987">
        <v>641</v>
      </c>
      <c r="E987" s="1">
        <v>19336</v>
      </c>
      <c r="F987" s="2">
        <v>82872</v>
      </c>
    </row>
    <row r="988" spans="1:6" x14ac:dyDescent="0.25">
      <c r="A988">
        <v>2018</v>
      </c>
      <c r="B988" t="s">
        <v>55</v>
      </c>
      <c r="C988" t="s">
        <v>27</v>
      </c>
      <c r="D988">
        <v>344</v>
      </c>
      <c r="E988" s="1">
        <v>2619</v>
      </c>
      <c r="F988" s="2">
        <v>42081</v>
      </c>
    </row>
    <row r="989" spans="1:6" x14ac:dyDescent="0.25">
      <c r="A989">
        <v>2018</v>
      </c>
      <c r="B989" t="s">
        <v>55</v>
      </c>
      <c r="C989" t="s">
        <v>28</v>
      </c>
      <c r="D989" s="1">
        <v>1003</v>
      </c>
      <c r="E989" s="1">
        <v>12165</v>
      </c>
      <c r="F989" s="2">
        <v>39981</v>
      </c>
    </row>
    <row r="990" spans="1:6" x14ac:dyDescent="0.25">
      <c r="A990">
        <v>2018</v>
      </c>
      <c r="B990" t="s">
        <v>55</v>
      </c>
      <c r="C990" t="s">
        <v>29</v>
      </c>
      <c r="D990" s="1">
        <v>2007</v>
      </c>
      <c r="E990" s="1">
        <v>35856</v>
      </c>
      <c r="F990" s="2">
        <v>64393</v>
      </c>
    </row>
    <row r="991" spans="1:6" x14ac:dyDescent="0.25">
      <c r="A991">
        <v>2018</v>
      </c>
      <c r="B991" t="s">
        <v>55</v>
      </c>
      <c r="C991" t="s">
        <v>30</v>
      </c>
      <c r="D991" s="1">
        <v>3062</v>
      </c>
      <c r="E991" s="1">
        <v>31787</v>
      </c>
      <c r="F991" s="2">
        <v>41230</v>
      </c>
    </row>
    <row r="992" spans="1:6" x14ac:dyDescent="0.25">
      <c r="A992">
        <v>2018</v>
      </c>
      <c r="B992" t="s">
        <v>55</v>
      </c>
      <c r="C992" t="s">
        <v>31</v>
      </c>
      <c r="D992" s="1">
        <v>3330</v>
      </c>
      <c r="E992" s="1">
        <v>30208</v>
      </c>
      <c r="F992" s="2">
        <v>39062</v>
      </c>
    </row>
    <row r="993" spans="1:6" x14ac:dyDescent="0.25">
      <c r="A993">
        <v>2018</v>
      </c>
      <c r="B993" t="s">
        <v>55</v>
      </c>
      <c r="C993" t="s">
        <v>32</v>
      </c>
      <c r="D993" s="1">
        <v>1766</v>
      </c>
      <c r="E993" s="1">
        <v>25422</v>
      </c>
      <c r="F993" s="2">
        <v>95073</v>
      </c>
    </row>
    <row r="994" spans="1:6" x14ac:dyDescent="0.25">
      <c r="A994">
        <v>2018</v>
      </c>
      <c r="B994" t="s">
        <v>55</v>
      </c>
      <c r="C994" t="s">
        <v>33</v>
      </c>
      <c r="D994" s="1">
        <v>2470</v>
      </c>
      <c r="E994" s="1">
        <v>28520</v>
      </c>
      <c r="F994" s="2">
        <v>51145</v>
      </c>
    </row>
    <row r="995" spans="1:6" x14ac:dyDescent="0.25">
      <c r="A995">
        <v>2018</v>
      </c>
      <c r="B995" t="s">
        <v>55</v>
      </c>
      <c r="C995" t="s">
        <v>34</v>
      </c>
      <c r="D995" s="1">
        <v>4348</v>
      </c>
      <c r="E995" s="1">
        <v>64020</v>
      </c>
      <c r="F995" s="2">
        <v>91135</v>
      </c>
    </row>
    <row r="996" spans="1:6" x14ac:dyDescent="0.25">
      <c r="A996">
        <v>2018</v>
      </c>
      <c r="B996" t="s">
        <v>55</v>
      </c>
      <c r="C996" t="s">
        <v>35</v>
      </c>
      <c r="D996" s="1">
        <v>4560</v>
      </c>
      <c r="E996" s="1">
        <v>53530</v>
      </c>
      <c r="F996" s="2">
        <v>37495</v>
      </c>
    </row>
    <row r="997" spans="1:6" x14ac:dyDescent="0.25">
      <c r="A997">
        <v>2018</v>
      </c>
      <c r="B997" t="s">
        <v>55</v>
      </c>
      <c r="C997" t="s">
        <v>36</v>
      </c>
      <c r="D997" s="1">
        <v>3585</v>
      </c>
      <c r="E997" s="1">
        <v>52523</v>
      </c>
      <c r="F997" s="2">
        <v>62951</v>
      </c>
    </row>
    <row r="998" spans="1:6" x14ac:dyDescent="0.25">
      <c r="A998">
        <v>2018</v>
      </c>
      <c r="B998" t="s">
        <v>55</v>
      </c>
      <c r="C998" t="s">
        <v>37</v>
      </c>
      <c r="D998">
        <v>194</v>
      </c>
      <c r="E998" s="1">
        <v>1056</v>
      </c>
      <c r="F998" s="2">
        <v>39071</v>
      </c>
    </row>
    <row r="999" spans="1:6" x14ac:dyDescent="0.25">
      <c r="A999">
        <v>2018</v>
      </c>
      <c r="B999" t="s">
        <v>55</v>
      </c>
      <c r="C999" t="s">
        <v>38</v>
      </c>
      <c r="D999" s="1">
        <v>1286</v>
      </c>
      <c r="E999" s="1">
        <v>12662</v>
      </c>
      <c r="F999" s="2">
        <v>40536</v>
      </c>
    </row>
    <row r="1000" spans="1:6" x14ac:dyDescent="0.25">
      <c r="A1000">
        <v>2018</v>
      </c>
      <c r="B1000" t="s">
        <v>55</v>
      </c>
      <c r="C1000" t="s">
        <v>39</v>
      </c>
      <c r="D1000" s="1">
        <v>1047</v>
      </c>
      <c r="E1000" s="1">
        <v>6831</v>
      </c>
      <c r="F1000" s="2">
        <v>42904</v>
      </c>
    </row>
    <row r="1001" spans="1:6" x14ac:dyDescent="0.25">
      <c r="A1001">
        <v>2018</v>
      </c>
      <c r="B1001" t="s">
        <v>55</v>
      </c>
      <c r="C1001" t="s">
        <v>40</v>
      </c>
      <c r="D1001" s="1">
        <v>1099</v>
      </c>
      <c r="E1001" s="1">
        <v>11051</v>
      </c>
      <c r="F1001" s="2">
        <v>46634</v>
      </c>
    </row>
    <row r="1002" spans="1:6" x14ac:dyDescent="0.25">
      <c r="A1002">
        <v>2018</v>
      </c>
      <c r="B1002" t="s">
        <v>55</v>
      </c>
      <c r="C1002" t="s">
        <v>41</v>
      </c>
      <c r="D1002" s="1">
        <v>19761</v>
      </c>
      <c r="E1002" s="1">
        <v>304275</v>
      </c>
      <c r="F1002" s="2">
        <v>109449</v>
      </c>
    </row>
    <row r="1003" spans="1:6" x14ac:dyDescent="0.25">
      <c r="A1003">
        <v>2018</v>
      </c>
      <c r="B1003" t="s">
        <v>55</v>
      </c>
      <c r="C1003" t="s">
        <v>42</v>
      </c>
      <c r="D1003" s="1">
        <v>1002</v>
      </c>
      <c r="E1003" s="1">
        <v>15159</v>
      </c>
      <c r="F1003" s="2">
        <v>61171</v>
      </c>
    </row>
    <row r="1004" spans="1:6" x14ac:dyDescent="0.25">
      <c r="A1004">
        <v>2018</v>
      </c>
      <c r="B1004" t="s">
        <v>55</v>
      </c>
      <c r="C1004" t="s">
        <v>43</v>
      </c>
      <c r="D1004">
        <v>548</v>
      </c>
      <c r="E1004" s="1">
        <v>3930</v>
      </c>
      <c r="F1004" s="2">
        <v>38605</v>
      </c>
    </row>
    <row r="1005" spans="1:6" x14ac:dyDescent="0.25">
      <c r="A1005">
        <v>2018</v>
      </c>
      <c r="B1005" t="s">
        <v>55</v>
      </c>
      <c r="C1005" t="s">
        <v>44</v>
      </c>
      <c r="D1005" s="1">
        <v>2101</v>
      </c>
      <c r="E1005" s="1">
        <v>19281</v>
      </c>
      <c r="F1005" s="2">
        <v>47043</v>
      </c>
    </row>
    <row r="1006" spans="1:6" x14ac:dyDescent="0.25">
      <c r="A1006">
        <v>2018</v>
      </c>
      <c r="B1006" t="s">
        <v>55</v>
      </c>
      <c r="C1006" t="s">
        <v>45</v>
      </c>
      <c r="D1006" s="1">
        <v>7317</v>
      </c>
      <c r="E1006" s="1">
        <v>109210</v>
      </c>
      <c r="F1006" s="2">
        <v>33346</v>
      </c>
    </row>
    <row r="1007" spans="1:6" x14ac:dyDescent="0.25">
      <c r="A1007">
        <v>2018</v>
      </c>
      <c r="B1007" t="s">
        <v>55</v>
      </c>
      <c r="C1007" t="s">
        <v>46</v>
      </c>
      <c r="D1007" s="1">
        <v>1199</v>
      </c>
      <c r="E1007" s="1">
        <v>23481</v>
      </c>
      <c r="F1007" s="2">
        <v>80012</v>
      </c>
    </row>
    <row r="1008" spans="1:6" x14ac:dyDescent="0.25">
      <c r="A1008">
        <v>2018</v>
      </c>
      <c r="B1008" t="s">
        <v>55</v>
      </c>
      <c r="C1008" t="s">
        <v>47</v>
      </c>
      <c r="D1008" s="1">
        <v>2926</v>
      </c>
      <c r="E1008" s="1">
        <v>32257</v>
      </c>
      <c r="F1008" s="2">
        <v>39437</v>
      </c>
    </row>
    <row r="1009" spans="1:6" x14ac:dyDescent="0.25">
      <c r="A1009">
        <v>2018</v>
      </c>
      <c r="B1009" t="s">
        <v>55</v>
      </c>
      <c r="C1009" t="s">
        <v>48</v>
      </c>
      <c r="D1009" s="1">
        <v>1438</v>
      </c>
      <c r="E1009" s="1">
        <v>23488</v>
      </c>
      <c r="F1009" s="2">
        <v>83751</v>
      </c>
    </row>
    <row r="1010" spans="1:6" x14ac:dyDescent="0.25">
      <c r="A1010">
        <v>2018</v>
      </c>
      <c r="B1010" t="s">
        <v>51</v>
      </c>
      <c r="C1010" t="s">
        <v>1</v>
      </c>
      <c r="D1010" s="1">
        <v>9897</v>
      </c>
      <c r="E1010" s="1">
        <v>89207</v>
      </c>
      <c r="F1010" s="2">
        <v>53957</v>
      </c>
    </row>
    <row r="1011" spans="1:6" x14ac:dyDescent="0.25">
      <c r="A1011">
        <v>2018</v>
      </c>
      <c r="B1011" t="s">
        <v>51</v>
      </c>
      <c r="C1011" t="s">
        <v>2</v>
      </c>
      <c r="D1011" s="1">
        <v>12867</v>
      </c>
      <c r="E1011" s="1">
        <v>158251</v>
      </c>
      <c r="F1011" s="2">
        <v>55989</v>
      </c>
    </row>
    <row r="1012" spans="1:6" x14ac:dyDescent="0.25">
      <c r="A1012">
        <v>2018</v>
      </c>
      <c r="B1012" t="s">
        <v>51</v>
      </c>
      <c r="C1012" t="s">
        <v>3</v>
      </c>
      <c r="D1012" s="1">
        <v>6945</v>
      </c>
      <c r="E1012" s="1">
        <v>50848</v>
      </c>
      <c r="F1012" s="2">
        <v>47988</v>
      </c>
    </row>
    <row r="1013" spans="1:6" x14ac:dyDescent="0.25">
      <c r="A1013">
        <v>2018</v>
      </c>
      <c r="B1013" t="s">
        <v>51</v>
      </c>
      <c r="C1013" t="s">
        <v>4</v>
      </c>
      <c r="D1013" s="1">
        <v>80657</v>
      </c>
      <c r="E1013" s="1">
        <v>860278</v>
      </c>
      <c r="F1013" s="2">
        <v>70084</v>
      </c>
    </row>
    <row r="1014" spans="1:6" x14ac:dyDescent="0.25">
      <c r="A1014">
        <v>2018</v>
      </c>
      <c r="B1014" t="s">
        <v>51</v>
      </c>
      <c r="C1014" t="s">
        <v>5</v>
      </c>
      <c r="D1014" s="1">
        <v>19884</v>
      </c>
      <c r="E1014" s="1">
        <v>173096</v>
      </c>
      <c r="F1014" s="2">
        <v>62414</v>
      </c>
    </row>
    <row r="1015" spans="1:6" x14ac:dyDescent="0.25">
      <c r="A1015">
        <v>2018</v>
      </c>
      <c r="B1015" t="s">
        <v>51</v>
      </c>
      <c r="C1015" t="s">
        <v>6</v>
      </c>
      <c r="D1015" s="1">
        <v>9399</v>
      </c>
      <c r="E1015" s="1">
        <v>58769</v>
      </c>
      <c r="F1015" s="2">
        <v>69727</v>
      </c>
    </row>
    <row r="1016" spans="1:6" x14ac:dyDescent="0.25">
      <c r="A1016">
        <v>2018</v>
      </c>
      <c r="B1016" t="s">
        <v>51</v>
      </c>
      <c r="C1016" t="s">
        <v>7</v>
      </c>
      <c r="D1016" s="1">
        <v>2871</v>
      </c>
      <c r="E1016" s="1">
        <v>22192</v>
      </c>
      <c r="F1016" s="2">
        <v>59797</v>
      </c>
    </row>
    <row r="1017" spans="1:6" x14ac:dyDescent="0.25">
      <c r="A1017">
        <v>2018</v>
      </c>
      <c r="B1017" t="s">
        <v>51</v>
      </c>
      <c r="C1017" t="s">
        <v>8</v>
      </c>
      <c r="D1017" s="1">
        <v>70819</v>
      </c>
      <c r="E1017" s="1">
        <v>541083</v>
      </c>
      <c r="F1017" s="2">
        <v>51286</v>
      </c>
    </row>
    <row r="1018" spans="1:6" x14ac:dyDescent="0.25">
      <c r="A1018">
        <v>2018</v>
      </c>
      <c r="B1018" t="s">
        <v>51</v>
      </c>
      <c r="C1018" t="s">
        <v>9</v>
      </c>
      <c r="D1018" s="1">
        <v>20577</v>
      </c>
      <c r="E1018" s="1">
        <v>195221</v>
      </c>
      <c r="F1018" s="2">
        <v>61018</v>
      </c>
    </row>
    <row r="1019" spans="1:6" x14ac:dyDescent="0.25">
      <c r="A1019">
        <v>2018</v>
      </c>
      <c r="B1019" t="s">
        <v>51</v>
      </c>
      <c r="C1019" t="s">
        <v>10</v>
      </c>
      <c r="D1019" s="1">
        <v>8174</v>
      </c>
      <c r="E1019" s="1">
        <v>46827</v>
      </c>
      <c r="F1019" s="2">
        <v>44285</v>
      </c>
    </row>
    <row r="1020" spans="1:6" x14ac:dyDescent="0.25">
      <c r="A1020">
        <v>2018</v>
      </c>
      <c r="B1020" t="s">
        <v>51</v>
      </c>
      <c r="C1020" t="s">
        <v>11</v>
      </c>
      <c r="D1020" s="1">
        <v>32305</v>
      </c>
      <c r="E1020" s="1">
        <v>225991</v>
      </c>
      <c r="F1020" s="2">
        <v>71957</v>
      </c>
    </row>
    <row r="1021" spans="1:6" x14ac:dyDescent="0.25">
      <c r="A1021">
        <v>2018</v>
      </c>
      <c r="B1021" t="s">
        <v>51</v>
      </c>
      <c r="C1021" t="s">
        <v>12</v>
      </c>
      <c r="D1021" s="1">
        <v>15176</v>
      </c>
      <c r="E1021" s="1">
        <v>141028</v>
      </c>
      <c r="F1021" s="2">
        <v>58404</v>
      </c>
    </row>
    <row r="1022" spans="1:6" x14ac:dyDescent="0.25">
      <c r="A1022">
        <v>2018</v>
      </c>
      <c r="B1022" t="s">
        <v>51</v>
      </c>
      <c r="C1022" t="s">
        <v>13</v>
      </c>
      <c r="D1022" s="1">
        <v>9447</v>
      </c>
      <c r="E1022" s="1">
        <v>77230</v>
      </c>
      <c r="F1022" s="2">
        <v>57435</v>
      </c>
    </row>
    <row r="1023" spans="1:6" x14ac:dyDescent="0.25">
      <c r="A1023">
        <v>2018</v>
      </c>
      <c r="B1023" t="s">
        <v>51</v>
      </c>
      <c r="C1023" t="s">
        <v>14</v>
      </c>
      <c r="D1023" s="1">
        <v>7555</v>
      </c>
      <c r="E1023" s="1">
        <v>61206</v>
      </c>
      <c r="F1023" s="2">
        <v>54735</v>
      </c>
    </row>
    <row r="1024" spans="1:6" x14ac:dyDescent="0.25">
      <c r="A1024">
        <v>2018</v>
      </c>
      <c r="B1024" t="s">
        <v>51</v>
      </c>
      <c r="C1024" t="s">
        <v>15</v>
      </c>
      <c r="D1024" s="1">
        <v>9466</v>
      </c>
      <c r="E1024" s="1">
        <v>77934</v>
      </c>
      <c r="F1024" s="2">
        <v>53957</v>
      </c>
    </row>
    <row r="1025" spans="1:6" x14ac:dyDescent="0.25">
      <c r="A1025">
        <v>2018</v>
      </c>
      <c r="B1025" t="s">
        <v>51</v>
      </c>
      <c r="C1025" t="s">
        <v>16</v>
      </c>
      <c r="D1025" s="1">
        <v>10844</v>
      </c>
      <c r="E1025" s="1">
        <v>151993</v>
      </c>
      <c r="F1025" s="2">
        <v>63892</v>
      </c>
    </row>
    <row r="1026" spans="1:6" x14ac:dyDescent="0.25">
      <c r="A1026">
        <v>2018</v>
      </c>
      <c r="B1026" t="s">
        <v>51</v>
      </c>
      <c r="C1026" t="s">
        <v>17</v>
      </c>
      <c r="D1026" s="1">
        <v>5475</v>
      </c>
      <c r="E1026" s="1">
        <v>29285</v>
      </c>
      <c r="F1026" s="2">
        <v>49575</v>
      </c>
    </row>
    <row r="1027" spans="1:6" x14ac:dyDescent="0.25">
      <c r="A1027">
        <v>2018</v>
      </c>
      <c r="B1027" t="s">
        <v>51</v>
      </c>
      <c r="C1027" t="s">
        <v>18</v>
      </c>
      <c r="D1027" s="1">
        <v>16487</v>
      </c>
      <c r="E1027" s="1">
        <v>163210</v>
      </c>
      <c r="F1027" s="2">
        <v>65971</v>
      </c>
    </row>
    <row r="1028" spans="1:6" x14ac:dyDescent="0.25">
      <c r="A1028">
        <v>2018</v>
      </c>
      <c r="B1028" t="s">
        <v>51</v>
      </c>
      <c r="C1028" t="s">
        <v>19</v>
      </c>
      <c r="D1028" s="1">
        <v>21120</v>
      </c>
      <c r="E1028" s="1">
        <v>158656</v>
      </c>
      <c r="F1028" s="2">
        <v>78802</v>
      </c>
    </row>
    <row r="1029" spans="1:6" x14ac:dyDescent="0.25">
      <c r="A1029">
        <v>2018</v>
      </c>
      <c r="B1029" t="s">
        <v>51</v>
      </c>
      <c r="C1029" t="s">
        <v>20</v>
      </c>
      <c r="D1029" s="1">
        <v>19952</v>
      </c>
      <c r="E1029" s="1">
        <v>168632</v>
      </c>
      <c r="F1029" s="2">
        <v>62378</v>
      </c>
    </row>
    <row r="1030" spans="1:6" x14ac:dyDescent="0.25">
      <c r="A1030">
        <v>2018</v>
      </c>
      <c r="B1030" t="s">
        <v>51</v>
      </c>
      <c r="C1030" t="s">
        <v>21</v>
      </c>
      <c r="D1030" s="1">
        <v>16480</v>
      </c>
      <c r="E1030" s="1">
        <v>121665</v>
      </c>
      <c r="F1030" s="2">
        <v>67248</v>
      </c>
    </row>
    <row r="1031" spans="1:6" x14ac:dyDescent="0.25">
      <c r="A1031">
        <v>2018</v>
      </c>
      <c r="B1031" t="s">
        <v>51</v>
      </c>
      <c r="C1031" t="s">
        <v>22</v>
      </c>
      <c r="D1031" s="1">
        <v>5760</v>
      </c>
      <c r="E1031" s="1">
        <v>43911</v>
      </c>
      <c r="F1031" s="2">
        <v>50325</v>
      </c>
    </row>
    <row r="1032" spans="1:6" x14ac:dyDescent="0.25">
      <c r="A1032">
        <v>2018</v>
      </c>
      <c r="B1032" t="s">
        <v>51</v>
      </c>
      <c r="C1032" t="s">
        <v>23</v>
      </c>
      <c r="D1032" s="1">
        <v>14591</v>
      </c>
      <c r="E1032" s="1">
        <v>122662</v>
      </c>
      <c r="F1032" s="2">
        <v>59442</v>
      </c>
    </row>
    <row r="1033" spans="1:6" x14ac:dyDescent="0.25">
      <c r="A1033">
        <v>2018</v>
      </c>
      <c r="B1033" t="s">
        <v>51</v>
      </c>
      <c r="C1033" t="s">
        <v>24</v>
      </c>
      <c r="D1033" s="1">
        <v>6514</v>
      </c>
      <c r="E1033" s="1">
        <v>29077</v>
      </c>
      <c r="F1033" s="2">
        <v>52969</v>
      </c>
    </row>
    <row r="1034" spans="1:6" x14ac:dyDescent="0.25">
      <c r="A1034">
        <v>2018</v>
      </c>
      <c r="B1034" t="s">
        <v>51</v>
      </c>
      <c r="C1034" t="s">
        <v>25</v>
      </c>
      <c r="D1034" s="1">
        <v>7068</v>
      </c>
      <c r="E1034" s="1">
        <v>52320</v>
      </c>
      <c r="F1034" s="2">
        <v>51657</v>
      </c>
    </row>
    <row r="1035" spans="1:6" x14ac:dyDescent="0.25">
      <c r="A1035">
        <v>2018</v>
      </c>
      <c r="B1035" t="s">
        <v>51</v>
      </c>
      <c r="C1035" t="s">
        <v>26</v>
      </c>
      <c r="D1035" s="1">
        <v>5898</v>
      </c>
      <c r="E1035" s="1">
        <v>89125</v>
      </c>
      <c r="F1035" s="2">
        <v>61123</v>
      </c>
    </row>
    <row r="1036" spans="1:6" x14ac:dyDescent="0.25">
      <c r="A1036">
        <v>2018</v>
      </c>
      <c r="B1036" t="s">
        <v>51</v>
      </c>
      <c r="C1036" t="s">
        <v>27</v>
      </c>
      <c r="D1036" s="1">
        <v>4498</v>
      </c>
      <c r="E1036" s="1">
        <v>26890</v>
      </c>
      <c r="F1036" s="2">
        <v>62661</v>
      </c>
    </row>
    <row r="1037" spans="1:6" x14ac:dyDescent="0.25">
      <c r="A1037">
        <v>2018</v>
      </c>
      <c r="B1037" t="s">
        <v>51</v>
      </c>
      <c r="C1037" t="s">
        <v>28</v>
      </c>
      <c r="D1037" s="1">
        <v>22416</v>
      </c>
      <c r="E1037" s="1">
        <v>157147</v>
      </c>
      <c r="F1037" s="2">
        <v>72658</v>
      </c>
    </row>
    <row r="1038" spans="1:6" x14ac:dyDescent="0.25">
      <c r="A1038">
        <v>2018</v>
      </c>
      <c r="B1038" t="s">
        <v>51</v>
      </c>
      <c r="C1038" t="s">
        <v>29</v>
      </c>
      <c r="D1038" s="1">
        <v>5337</v>
      </c>
      <c r="E1038" s="1">
        <v>47224</v>
      </c>
      <c r="F1038" s="2">
        <v>49350</v>
      </c>
    </row>
    <row r="1039" spans="1:6" x14ac:dyDescent="0.25">
      <c r="A1039">
        <v>2018</v>
      </c>
      <c r="B1039" t="s">
        <v>51</v>
      </c>
      <c r="C1039" t="s">
        <v>30</v>
      </c>
      <c r="D1039" s="1">
        <v>50281</v>
      </c>
      <c r="E1039" s="1">
        <v>399629</v>
      </c>
      <c r="F1039" s="2">
        <v>73248</v>
      </c>
    </row>
    <row r="1040" spans="1:6" x14ac:dyDescent="0.25">
      <c r="A1040">
        <v>2018</v>
      </c>
      <c r="B1040" t="s">
        <v>51</v>
      </c>
      <c r="C1040" t="s">
        <v>31</v>
      </c>
      <c r="D1040" s="1">
        <v>26741</v>
      </c>
      <c r="E1040" s="1">
        <v>220692</v>
      </c>
      <c r="F1040" s="2">
        <v>54587</v>
      </c>
    </row>
    <row r="1041" spans="1:6" x14ac:dyDescent="0.25">
      <c r="A1041">
        <v>2018</v>
      </c>
      <c r="B1041" t="s">
        <v>51</v>
      </c>
      <c r="C1041" t="s">
        <v>32</v>
      </c>
      <c r="D1041" s="1">
        <v>3798</v>
      </c>
      <c r="E1041" s="1">
        <v>26002</v>
      </c>
      <c r="F1041" s="2">
        <v>64586</v>
      </c>
    </row>
    <row r="1042" spans="1:6" x14ac:dyDescent="0.25">
      <c r="A1042">
        <v>2018</v>
      </c>
      <c r="B1042" t="s">
        <v>51</v>
      </c>
      <c r="C1042" t="s">
        <v>33</v>
      </c>
      <c r="D1042" s="1">
        <v>23076</v>
      </c>
      <c r="E1042" s="1">
        <v>220709</v>
      </c>
      <c r="F1042" s="2">
        <v>61194</v>
      </c>
    </row>
    <row r="1043" spans="1:6" x14ac:dyDescent="0.25">
      <c r="A1043">
        <v>2018</v>
      </c>
      <c r="B1043" t="s">
        <v>51</v>
      </c>
      <c r="C1043" t="s">
        <v>34</v>
      </c>
      <c r="D1043" s="1">
        <v>9765</v>
      </c>
      <c r="E1043" s="1">
        <v>80295</v>
      </c>
      <c r="F1043" s="2">
        <v>52777</v>
      </c>
    </row>
    <row r="1044" spans="1:6" x14ac:dyDescent="0.25">
      <c r="A1044">
        <v>2018</v>
      </c>
      <c r="B1044" t="s">
        <v>51</v>
      </c>
      <c r="C1044" t="s">
        <v>35</v>
      </c>
      <c r="D1044" s="1">
        <v>14244</v>
      </c>
      <c r="E1044" s="1">
        <v>104561</v>
      </c>
      <c r="F1044" s="2">
        <v>60523</v>
      </c>
    </row>
    <row r="1045" spans="1:6" x14ac:dyDescent="0.25">
      <c r="A1045">
        <v>2018</v>
      </c>
      <c r="B1045" t="s">
        <v>51</v>
      </c>
      <c r="C1045" t="s">
        <v>36</v>
      </c>
      <c r="D1045" s="1">
        <v>28749</v>
      </c>
      <c r="E1045" s="1">
        <v>255910</v>
      </c>
      <c r="F1045" s="2">
        <v>66852</v>
      </c>
    </row>
    <row r="1046" spans="1:6" x14ac:dyDescent="0.25">
      <c r="A1046">
        <v>2018</v>
      </c>
      <c r="B1046" t="s">
        <v>51</v>
      </c>
      <c r="C1046" t="s">
        <v>37</v>
      </c>
      <c r="D1046" s="1">
        <v>3743</v>
      </c>
      <c r="E1046" s="1">
        <v>19229</v>
      </c>
      <c r="F1046" s="2">
        <v>61579</v>
      </c>
    </row>
    <row r="1047" spans="1:6" x14ac:dyDescent="0.25">
      <c r="A1047">
        <v>2018</v>
      </c>
      <c r="B1047" t="s">
        <v>51</v>
      </c>
      <c r="C1047" t="s">
        <v>38</v>
      </c>
      <c r="D1047" s="1">
        <v>12124</v>
      </c>
      <c r="E1047" s="1">
        <v>104324</v>
      </c>
      <c r="F1047" s="2">
        <v>52634</v>
      </c>
    </row>
    <row r="1048" spans="1:6" x14ac:dyDescent="0.25">
      <c r="A1048">
        <v>2018</v>
      </c>
      <c r="B1048" t="s">
        <v>51</v>
      </c>
      <c r="C1048" t="s">
        <v>39</v>
      </c>
      <c r="D1048" s="1">
        <v>3884</v>
      </c>
      <c r="E1048" s="1">
        <v>22971</v>
      </c>
      <c r="F1048" s="2">
        <v>48981</v>
      </c>
    </row>
    <row r="1049" spans="1:6" x14ac:dyDescent="0.25">
      <c r="A1049">
        <v>2018</v>
      </c>
      <c r="B1049" t="s">
        <v>51</v>
      </c>
      <c r="C1049" t="s">
        <v>40</v>
      </c>
      <c r="D1049" s="1">
        <v>12110</v>
      </c>
      <c r="E1049" s="1">
        <v>124488</v>
      </c>
      <c r="F1049" s="2">
        <v>57033</v>
      </c>
    </row>
    <row r="1050" spans="1:6" x14ac:dyDescent="0.25">
      <c r="A1050">
        <v>2018</v>
      </c>
      <c r="B1050" t="s">
        <v>51</v>
      </c>
      <c r="C1050" t="s">
        <v>41</v>
      </c>
      <c r="D1050" s="1">
        <v>51405</v>
      </c>
      <c r="E1050" s="1">
        <v>739156</v>
      </c>
      <c r="F1050" s="2">
        <v>65554</v>
      </c>
    </row>
    <row r="1051" spans="1:6" x14ac:dyDescent="0.25">
      <c r="A1051">
        <v>2018</v>
      </c>
      <c r="B1051" t="s">
        <v>51</v>
      </c>
      <c r="C1051" t="s">
        <v>42</v>
      </c>
      <c r="D1051" s="1">
        <v>11572</v>
      </c>
      <c r="E1051" s="1">
        <v>104339</v>
      </c>
      <c r="F1051" s="2">
        <v>51052</v>
      </c>
    </row>
    <row r="1052" spans="1:6" x14ac:dyDescent="0.25">
      <c r="A1052">
        <v>2018</v>
      </c>
      <c r="B1052" t="s">
        <v>51</v>
      </c>
      <c r="C1052" t="s">
        <v>43</v>
      </c>
      <c r="D1052" s="1">
        <v>2878</v>
      </c>
      <c r="E1052" s="1">
        <v>15262</v>
      </c>
      <c r="F1052" s="2">
        <v>51025</v>
      </c>
    </row>
    <row r="1053" spans="1:6" x14ac:dyDescent="0.25">
      <c r="A1053">
        <v>2018</v>
      </c>
      <c r="B1053" t="s">
        <v>51</v>
      </c>
      <c r="C1053" t="s">
        <v>44</v>
      </c>
      <c r="D1053" s="1">
        <v>21508</v>
      </c>
      <c r="E1053" s="1">
        <v>197292</v>
      </c>
      <c r="F1053" s="2">
        <v>58050</v>
      </c>
    </row>
    <row r="1054" spans="1:6" x14ac:dyDescent="0.25">
      <c r="A1054">
        <v>2018</v>
      </c>
      <c r="B1054" t="s">
        <v>51</v>
      </c>
      <c r="C1054" t="s">
        <v>45</v>
      </c>
      <c r="D1054" s="1">
        <v>26015</v>
      </c>
      <c r="E1054" s="1">
        <v>199867</v>
      </c>
      <c r="F1054" s="2">
        <v>64432</v>
      </c>
    </row>
    <row r="1055" spans="1:6" x14ac:dyDescent="0.25">
      <c r="A1055">
        <v>2018</v>
      </c>
      <c r="B1055" t="s">
        <v>51</v>
      </c>
      <c r="C1055" t="s">
        <v>46</v>
      </c>
      <c r="D1055" s="1">
        <v>4435</v>
      </c>
      <c r="E1055" s="1">
        <v>40126</v>
      </c>
      <c r="F1055" s="2">
        <v>72255</v>
      </c>
    </row>
    <row r="1056" spans="1:6" x14ac:dyDescent="0.25">
      <c r="A1056">
        <v>2018</v>
      </c>
      <c r="B1056" t="s">
        <v>51</v>
      </c>
      <c r="C1056" t="s">
        <v>47</v>
      </c>
      <c r="D1056" s="1">
        <v>14814</v>
      </c>
      <c r="E1056" s="1">
        <v>122396</v>
      </c>
      <c r="F1056" s="2">
        <v>62063</v>
      </c>
    </row>
    <row r="1057" spans="1:6" x14ac:dyDescent="0.25">
      <c r="A1057">
        <v>2018</v>
      </c>
      <c r="B1057" t="s">
        <v>51</v>
      </c>
      <c r="C1057" t="s">
        <v>48</v>
      </c>
      <c r="D1057" s="1">
        <v>3375</v>
      </c>
      <c r="E1057" s="1">
        <v>20253</v>
      </c>
      <c r="F1057" s="2">
        <v>53554</v>
      </c>
    </row>
    <row r="1058" spans="1:6" x14ac:dyDescent="0.25">
      <c r="A1058">
        <v>2018</v>
      </c>
      <c r="B1058" t="s">
        <v>52</v>
      </c>
      <c r="C1058" t="s">
        <v>1</v>
      </c>
      <c r="D1058" s="1">
        <v>5566</v>
      </c>
      <c r="E1058" s="1">
        <v>266798</v>
      </c>
      <c r="F1058" s="2">
        <v>57068</v>
      </c>
    </row>
    <row r="1059" spans="1:6" x14ac:dyDescent="0.25">
      <c r="A1059">
        <v>2018</v>
      </c>
      <c r="B1059" t="s">
        <v>52</v>
      </c>
      <c r="C1059" t="s">
        <v>2</v>
      </c>
      <c r="D1059" s="1">
        <v>4926</v>
      </c>
      <c r="E1059" s="1">
        <v>169675</v>
      </c>
      <c r="F1059" s="2">
        <v>76139</v>
      </c>
    </row>
    <row r="1060" spans="1:6" x14ac:dyDescent="0.25">
      <c r="A1060">
        <v>2018</v>
      </c>
      <c r="B1060" t="s">
        <v>52</v>
      </c>
      <c r="C1060" t="s">
        <v>3</v>
      </c>
      <c r="D1060" s="1">
        <v>2918</v>
      </c>
      <c r="E1060" s="1">
        <v>160597</v>
      </c>
      <c r="F1060" s="2">
        <v>47984</v>
      </c>
    </row>
    <row r="1061" spans="1:6" x14ac:dyDescent="0.25">
      <c r="A1061">
        <v>2018</v>
      </c>
      <c r="B1061" t="s">
        <v>52</v>
      </c>
      <c r="C1061" t="s">
        <v>4</v>
      </c>
      <c r="D1061" s="1">
        <v>44706</v>
      </c>
      <c r="E1061" s="1">
        <v>1320068</v>
      </c>
      <c r="F1061" s="2">
        <v>95627</v>
      </c>
    </row>
    <row r="1062" spans="1:6" x14ac:dyDescent="0.25">
      <c r="A1062">
        <v>2018</v>
      </c>
      <c r="B1062" t="s">
        <v>52</v>
      </c>
      <c r="C1062" t="s">
        <v>5</v>
      </c>
      <c r="D1062" s="1">
        <v>5804</v>
      </c>
      <c r="E1062" s="1">
        <v>147285</v>
      </c>
      <c r="F1062" s="2">
        <v>70677</v>
      </c>
    </row>
    <row r="1063" spans="1:6" x14ac:dyDescent="0.25">
      <c r="A1063">
        <v>2018</v>
      </c>
      <c r="B1063" t="s">
        <v>52</v>
      </c>
      <c r="C1063" t="s">
        <v>6</v>
      </c>
      <c r="D1063" s="1">
        <v>4408</v>
      </c>
      <c r="E1063" s="1">
        <v>160500</v>
      </c>
      <c r="F1063" s="2">
        <v>82569</v>
      </c>
    </row>
    <row r="1064" spans="1:6" x14ac:dyDescent="0.25">
      <c r="A1064">
        <v>2018</v>
      </c>
      <c r="B1064" t="s">
        <v>52</v>
      </c>
      <c r="C1064" t="s">
        <v>7</v>
      </c>
      <c r="D1064">
        <v>661</v>
      </c>
      <c r="E1064" s="1">
        <v>27077</v>
      </c>
      <c r="F1064" s="2">
        <v>64153</v>
      </c>
    </row>
    <row r="1065" spans="1:6" x14ac:dyDescent="0.25">
      <c r="A1065">
        <v>2018</v>
      </c>
      <c r="B1065" t="s">
        <v>52</v>
      </c>
      <c r="C1065" t="s">
        <v>8</v>
      </c>
      <c r="D1065" s="1">
        <v>20548</v>
      </c>
      <c r="E1065" s="1">
        <v>371590</v>
      </c>
      <c r="F1065" s="2">
        <v>61740</v>
      </c>
    </row>
    <row r="1066" spans="1:6" x14ac:dyDescent="0.25">
      <c r="A1066">
        <v>2018</v>
      </c>
      <c r="B1066" t="s">
        <v>52</v>
      </c>
      <c r="C1066" t="s">
        <v>9</v>
      </c>
      <c r="D1066" s="1">
        <v>9884</v>
      </c>
      <c r="E1066" s="1">
        <v>406818</v>
      </c>
      <c r="F1066" s="2">
        <v>59168</v>
      </c>
    </row>
    <row r="1067" spans="1:6" x14ac:dyDescent="0.25">
      <c r="A1067">
        <v>2018</v>
      </c>
      <c r="B1067" t="s">
        <v>52</v>
      </c>
      <c r="C1067" t="s">
        <v>10</v>
      </c>
      <c r="D1067" s="1">
        <v>2807</v>
      </c>
      <c r="E1067" s="1">
        <v>67792</v>
      </c>
      <c r="F1067" s="2">
        <v>63932</v>
      </c>
    </row>
    <row r="1068" spans="1:6" x14ac:dyDescent="0.25">
      <c r="A1068">
        <v>2018</v>
      </c>
      <c r="B1068" t="s">
        <v>52</v>
      </c>
      <c r="C1068" t="s">
        <v>11</v>
      </c>
      <c r="D1068" s="1">
        <v>17883</v>
      </c>
      <c r="E1068" s="1">
        <v>586130</v>
      </c>
      <c r="F1068" s="2">
        <v>71895</v>
      </c>
    </row>
    <row r="1069" spans="1:6" x14ac:dyDescent="0.25">
      <c r="A1069">
        <v>2018</v>
      </c>
      <c r="B1069" t="s">
        <v>52</v>
      </c>
      <c r="C1069" t="s">
        <v>12</v>
      </c>
      <c r="D1069" s="1">
        <v>8825</v>
      </c>
      <c r="E1069" s="1">
        <v>541836</v>
      </c>
      <c r="F1069" s="2">
        <v>62680</v>
      </c>
    </row>
    <row r="1070" spans="1:6" x14ac:dyDescent="0.25">
      <c r="A1070">
        <v>2018</v>
      </c>
      <c r="B1070" t="s">
        <v>52</v>
      </c>
      <c r="C1070" t="s">
        <v>13</v>
      </c>
      <c r="D1070" s="1">
        <v>4142</v>
      </c>
      <c r="E1070" s="1">
        <v>222586</v>
      </c>
      <c r="F1070" s="2">
        <v>60257</v>
      </c>
    </row>
    <row r="1071" spans="1:6" x14ac:dyDescent="0.25">
      <c r="A1071">
        <v>2018</v>
      </c>
      <c r="B1071" t="s">
        <v>52</v>
      </c>
      <c r="C1071" t="s">
        <v>14</v>
      </c>
      <c r="D1071" s="1">
        <v>3143</v>
      </c>
      <c r="E1071" s="1">
        <v>165056</v>
      </c>
      <c r="F1071" s="2">
        <v>59206</v>
      </c>
    </row>
    <row r="1072" spans="1:6" x14ac:dyDescent="0.25">
      <c r="A1072">
        <v>2018</v>
      </c>
      <c r="B1072" t="s">
        <v>52</v>
      </c>
      <c r="C1072" t="s">
        <v>15</v>
      </c>
      <c r="D1072" s="1">
        <v>4443</v>
      </c>
      <c r="E1072" s="1">
        <v>251454</v>
      </c>
      <c r="F1072" s="2">
        <v>59208</v>
      </c>
    </row>
    <row r="1073" spans="1:6" x14ac:dyDescent="0.25">
      <c r="A1073">
        <v>2018</v>
      </c>
      <c r="B1073" t="s">
        <v>52</v>
      </c>
      <c r="C1073" t="s">
        <v>16</v>
      </c>
      <c r="D1073" s="1">
        <v>4428</v>
      </c>
      <c r="E1073" s="1">
        <v>135510</v>
      </c>
      <c r="F1073" s="2">
        <v>75881</v>
      </c>
    </row>
    <row r="1074" spans="1:6" x14ac:dyDescent="0.25">
      <c r="A1074">
        <v>2018</v>
      </c>
      <c r="B1074" t="s">
        <v>52</v>
      </c>
      <c r="C1074" t="s">
        <v>17</v>
      </c>
      <c r="D1074" s="1">
        <v>1856</v>
      </c>
      <c r="E1074" s="1">
        <v>51836</v>
      </c>
      <c r="F1074" s="2">
        <v>55894</v>
      </c>
    </row>
    <row r="1075" spans="1:6" x14ac:dyDescent="0.25">
      <c r="A1075">
        <v>2018</v>
      </c>
      <c r="B1075" t="s">
        <v>52</v>
      </c>
      <c r="C1075" t="s">
        <v>18</v>
      </c>
      <c r="D1075" s="1">
        <v>4035</v>
      </c>
      <c r="E1075" s="1">
        <v>109683</v>
      </c>
      <c r="F1075" s="2">
        <v>78350</v>
      </c>
    </row>
    <row r="1076" spans="1:6" x14ac:dyDescent="0.25">
      <c r="A1076">
        <v>2018</v>
      </c>
      <c r="B1076" t="s">
        <v>52</v>
      </c>
      <c r="C1076" t="s">
        <v>19</v>
      </c>
      <c r="D1076" s="1">
        <v>6711</v>
      </c>
      <c r="E1076" s="1">
        <v>245091</v>
      </c>
      <c r="F1076" s="2">
        <v>88576</v>
      </c>
    </row>
    <row r="1077" spans="1:6" x14ac:dyDescent="0.25">
      <c r="A1077">
        <v>2018</v>
      </c>
      <c r="B1077" t="s">
        <v>52</v>
      </c>
      <c r="C1077" t="s">
        <v>20</v>
      </c>
      <c r="D1077" s="1">
        <v>16070</v>
      </c>
      <c r="E1077" s="1">
        <v>627751</v>
      </c>
      <c r="F1077" s="2">
        <v>67537</v>
      </c>
    </row>
    <row r="1078" spans="1:6" x14ac:dyDescent="0.25">
      <c r="A1078">
        <v>2018</v>
      </c>
      <c r="B1078" t="s">
        <v>52</v>
      </c>
      <c r="C1078" t="s">
        <v>21</v>
      </c>
      <c r="D1078" s="1">
        <v>8487</v>
      </c>
      <c r="E1078" s="1">
        <v>321908</v>
      </c>
      <c r="F1078" s="2">
        <v>67096</v>
      </c>
    </row>
    <row r="1079" spans="1:6" x14ac:dyDescent="0.25">
      <c r="A1079">
        <v>2018</v>
      </c>
      <c r="B1079" t="s">
        <v>52</v>
      </c>
      <c r="C1079" t="s">
        <v>22</v>
      </c>
      <c r="D1079" s="1">
        <v>2421</v>
      </c>
      <c r="E1079" s="1">
        <v>144816</v>
      </c>
      <c r="F1079" s="2">
        <v>49254</v>
      </c>
    </row>
    <row r="1080" spans="1:6" x14ac:dyDescent="0.25">
      <c r="A1080">
        <v>2018</v>
      </c>
      <c r="B1080" t="s">
        <v>52</v>
      </c>
      <c r="C1080" t="s">
        <v>23</v>
      </c>
      <c r="D1080" s="1">
        <v>6476</v>
      </c>
      <c r="E1080" s="1">
        <v>273163</v>
      </c>
      <c r="F1080" s="2">
        <v>58359</v>
      </c>
    </row>
    <row r="1081" spans="1:6" x14ac:dyDescent="0.25">
      <c r="A1081">
        <v>2018</v>
      </c>
      <c r="B1081" t="s">
        <v>52</v>
      </c>
      <c r="C1081" t="s">
        <v>24</v>
      </c>
      <c r="D1081" s="1">
        <v>1634</v>
      </c>
      <c r="E1081" s="1">
        <v>20560</v>
      </c>
      <c r="F1081" s="2">
        <v>50194</v>
      </c>
    </row>
    <row r="1082" spans="1:6" x14ac:dyDescent="0.25">
      <c r="A1082">
        <v>2018</v>
      </c>
      <c r="B1082" t="s">
        <v>52</v>
      </c>
      <c r="C1082" t="s">
        <v>25</v>
      </c>
      <c r="D1082" s="1">
        <v>1988</v>
      </c>
      <c r="E1082" s="1">
        <v>99807</v>
      </c>
      <c r="F1082" s="2">
        <v>51566</v>
      </c>
    </row>
    <row r="1083" spans="1:6" x14ac:dyDescent="0.25">
      <c r="A1083">
        <v>2018</v>
      </c>
      <c r="B1083" t="s">
        <v>52</v>
      </c>
      <c r="C1083" t="s">
        <v>26</v>
      </c>
      <c r="D1083" s="1">
        <v>2066</v>
      </c>
      <c r="E1083" s="1">
        <v>55405</v>
      </c>
      <c r="F1083" s="2">
        <v>58543</v>
      </c>
    </row>
    <row r="1084" spans="1:6" x14ac:dyDescent="0.25">
      <c r="A1084">
        <v>2018</v>
      </c>
      <c r="B1084" t="s">
        <v>52</v>
      </c>
      <c r="C1084" t="s">
        <v>27</v>
      </c>
      <c r="D1084" s="1">
        <v>2032</v>
      </c>
      <c r="E1084" s="1">
        <v>70582</v>
      </c>
      <c r="F1084" s="2">
        <v>71722</v>
      </c>
    </row>
    <row r="1085" spans="1:6" x14ac:dyDescent="0.25">
      <c r="A1085">
        <v>2018</v>
      </c>
      <c r="B1085" t="s">
        <v>52</v>
      </c>
      <c r="C1085" t="s">
        <v>28</v>
      </c>
      <c r="D1085" s="1">
        <v>8976</v>
      </c>
      <c r="E1085" s="1">
        <v>245593</v>
      </c>
      <c r="F1085" s="2">
        <v>80088</v>
      </c>
    </row>
    <row r="1086" spans="1:6" x14ac:dyDescent="0.25">
      <c r="A1086">
        <v>2018</v>
      </c>
      <c r="B1086" t="s">
        <v>52</v>
      </c>
      <c r="C1086" t="s">
        <v>29</v>
      </c>
      <c r="D1086" s="1">
        <v>1768</v>
      </c>
      <c r="E1086" s="1">
        <v>27145</v>
      </c>
      <c r="F1086" s="2">
        <v>53139</v>
      </c>
    </row>
    <row r="1087" spans="1:6" x14ac:dyDescent="0.25">
      <c r="A1087">
        <v>2018</v>
      </c>
      <c r="B1087" t="s">
        <v>52</v>
      </c>
      <c r="C1087" t="s">
        <v>30</v>
      </c>
      <c r="D1087" s="1">
        <v>16910</v>
      </c>
      <c r="E1087" s="1">
        <v>441590</v>
      </c>
      <c r="F1087" s="2">
        <v>67614</v>
      </c>
    </row>
    <row r="1088" spans="1:6" x14ac:dyDescent="0.25">
      <c r="A1088">
        <v>2018</v>
      </c>
      <c r="B1088" t="s">
        <v>52</v>
      </c>
      <c r="C1088" t="s">
        <v>31</v>
      </c>
      <c r="D1088" s="1">
        <v>10219</v>
      </c>
      <c r="E1088" s="1">
        <v>474932</v>
      </c>
      <c r="F1088" s="2">
        <v>59827</v>
      </c>
    </row>
    <row r="1089" spans="1:6" x14ac:dyDescent="0.25">
      <c r="A1089">
        <v>2018</v>
      </c>
      <c r="B1089" t="s">
        <v>52</v>
      </c>
      <c r="C1089" t="s">
        <v>32</v>
      </c>
      <c r="D1089">
        <v>807</v>
      </c>
      <c r="E1089" s="1">
        <v>25906</v>
      </c>
      <c r="F1089" s="2">
        <v>53882</v>
      </c>
    </row>
    <row r="1090" spans="1:6" x14ac:dyDescent="0.25">
      <c r="A1090">
        <v>2018</v>
      </c>
      <c r="B1090" t="s">
        <v>52</v>
      </c>
      <c r="C1090" t="s">
        <v>33</v>
      </c>
      <c r="D1090" s="1">
        <v>15409</v>
      </c>
      <c r="E1090" s="1">
        <v>698950</v>
      </c>
      <c r="F1090" s="2">
        <v>61487</v>
      </c>
    </row>
    <row r="1091" spans="1:6" x14ac:dyDescent="0.25">
      <c r="A1091">
        <v>2018</v>
      </c>
      <c r="B1091" t="s">
        <v>52</v>
      </c>
      <c r="C1091" t="s">
        <v>34</v>
      </c>
      <c r="D1091" s="1">
        <v>4164</v>
      </c>
      <c r="E1091" s="1">
        <v>137739</v>
      </c>
      <c r="F1091" s="2">
        <v>58770</v>
      </c>
    </row>
    <row r="1092" spans="1:6" x14ac:dyDescent="0.25">
      <c r="A1092">
        <v>2018</v>
      </c>
      <c r="B1092" t="s">
        <v>52</v>
      </c>
      <c r="C1092" t="s">
        <v>35</v>
      </c>
      <c r="D1092" s="1">
        <v>6240</v>
      </c>
      <c r="E1092" s="1">
        <v>194693</v>
      </c>
      <c r="F1092" s="2">
        <v>70641</v>
      </c>
    </row>
    <row r="1093" spans="1:6" x14ac:dyDescent="0.25">
      <c r="A1093">
        <v>2018</v>
      </c>
      <c r="B1093" t="s">
        <v>52</v>
      </c>
      <c r="C1093" t="s">
        <v>36</v>
      </c>
      <c r="D1093" s="1">
        <v>14407</v>
      </c>
      <c r="E1093" s="1">
        <v>569811</v>
      </c>
      <c r="F1093" s="2">
        <v>62561</v>
      </c>
    </row>
    <row r="1094" spans="1:6" x14ac:dyDescent="0.25">
      <c r="A1094">
        <v>2018</v>
      </c>
      <c r="B1094" t="s">
        <v>52</v>
      </c>
      <c r="C1094" t="s">
        <v>37</v>
      </c>
      <c r="D1094" s="1">
        <v>1572</v>
      </c>
      <c r="E1094" s="1">
        <v>40340</v>
      </c>
      <c r="F1094" s="2">
        <v>58468</v>
      </c>
    </row>
    <row r="1095" spans="1:6" x14ac:dyDescent="0.25">
      <c r="A1095">
        <v>2018</v>
      </c>
      <c r="B1095" t="s">
        <v>52</v>
      </c>
      <c r="C1095" t="s">
        <v>38</v>
      </c>
      <c r="D1095" s="1">
        <v>6087</v>
      </c>
      <c r="E1095" s="1">
        <v>249719</v>
      </c>
      <c r="F1095" s="2">
        <v>59522</v>
      </c>
    </row>
    <row r="1096" spans="1:6" x14ac:dyDescent="0.25">
      <c r="A1096">
        <v>2018</v>
      </c>
      <c r="B1096" t="s">
        <v>52</v>
      </c>
      <c r="C1096" t="s">
        <v>39</v>
      </c>
      <c r="D1096" s="1">
        <v>1084</v>
      </c>
      <c r="E1096" s="1">
        <v>44442</v>
      </c>
      <c r="F1096" s="2">
        <v>49320</v>
      </c>
    </row>
    <row r="1097" spans="1:6" x14ac:dyDescent="0.25">
      <c r="A1097">
        <v>2018</v>
      </c>
      <c r="B1097" t="s">
        <v>52</v>
      </c>
      <c r="C1097" t="s">
        <v>40</v>
      </c>
      <c r="D1097" s="1">
        <v>7051</v>
      </c>
      <c r="E1097" s="1">
        <v>351073</v>
      </c>
      <c r="F1097" s="2">
        <v>59495</v>
      </c>
    </row>
    <row r="1098" spans="1:6" x14ac:dyDescent="0.25">
      <c r="A1098">
        <v>2018</v>
      </c>
      <c r="B1098" t="s">
        <v>52</v>
      </c>
      <c r="C1098" t="s">
        <v>41</v>
      </c>
      <c r="D1098" s="1">
        <v>24758</v>
      </c>
      <c r="E1098" s="1">
        <v>879509</v>
      </c>
      <c r="F1098" s="2">
        <v>77648</v>
      </c>
    </row>
    <row r="1099" spans="1:6" x14ac:dyDescent="0.25">
      <c r="A1099">
        <v>2018</v>
      </c>
      <c r="B1099" t="s">
        <v>52</v>
      </c>
      <c r="C1099" t="s">
        <v>42</v>
      </c>
      <c r="D1099" s="1">
        <v>4386</v>
      </c>
      <c r="E1099" s="1">
        <v>132149</v>
      </c>
      <c r="F1099" s="2">
        <v>58006</v>
      </c>
    </row>
    <row r="1100" spans="1:6" x14ac:dyDescent="0.25">
      <c r="A1100">
        <v>2018</v>
      </c>
      <c r="B1100" t="s">
        <v>52</v>
      </c>
      <c r="C1100" t="s">
        <v>43</v>
      </c>
      <c r="D1100" s="1">
        <v>1108</v>
      </c>
      <c r="E1100" s="1">
        <v>29827</v>
      </c>
      <c r="F1100" s="2">
        <v>59390</v>
      </c>
    </row>
    <row r="1101" spans="1:6" x14ac:dyDescent="0.25">
      <c r="A1101">
        <v>2018</v>
      </c>
      <c r="B1101" t="s">
        <v>52</v>
      </c>
      <c r="C1101" t="s">
        <v>44</v>
      </c>
      <c r="D1101" s="1">
        <v>6750</v>
      </c>
      <c r="E1101" s="1">
        <v>238645</v>
      </c>
      <c r="F1101" s="2">
        <v>59974</v>
      </c>
    </row>
    <row r="1102" spans="1:6" x14ac:dyDescent="0.25">
      <c r="A1102">
        <v>2018</v>
      </c>
      <c r="B1102" t="s">
        <v>52</v>
      </c>
      <c r="C1102" t="s">
        <v>45</v>
      </c>
      <c r="D1102" s="1">
        <v>7798</v>
      </c>
      <c r="E1102" s="1">
        <v>284112</v>
      </c>
      <c r="F1102" s="2">
        <v>79321</v>
      </c>
    </row>
    <row r="1103" spans="1:6" x14ac:dyDescent="0.25">
      <c r="A1103">
        <v>2018</v>
      </c>
      <c r="B1103" t="s">
        <v>52</v>
      </c>
      <c r="C1103" t="s">
        <v>46</v>
      </c>
      <c r="D1103" s="1">
        <v>1268</v>
      </c>
      <c r="E1103" s="1">
        <v>46952</v>
      </c>
      <c r="F1103" s="2">
        <v>60459</v>
      </c>
    </row>
    <row r="1104" spans="1:6" x14ac:dyDescent="0.25">
      <c r="A1104">
        <v>2018</v>
      </c>
      <c r="B1104" t="s">
        <v>52</v>
      </c>
      <c r="C1104" t="s">
        <v>47</v>
      </c>
      <c r="D1104" s="1">
        <v>9432</v>
      </c>
      <c r="E1104" s="1">
        <v>475510</v>
      </c>
      <c r="F1104" s="2">
        <v>58047</v>
      </c>
    </row>
    <row r="1105" spans="1:6" x14ac:dyDescent="0.25">
      <c r="A1105">
        <v>2018</v>
      </c>
      <c r="B1105" t="s">
        <v>52</v>
      </c>
      <c r="C1105" t="s">
        <v>48</v>
      </c>
      <c r="D1105">
        <v>600</v>
      </c>
      <c r="E1105" s="1">
        <v>9721</v>
      </c>
      <c r="F1105" s="2">
        <v>67060</v>
      </c>
    </row>
    <row r="1106" spans="1:6" x14ac:dyDescent="0.25">
      <c r="A1106">
        <v>2018</v>
      </c>
      <c r="B1106" t="s">
        <v>54</v>
      </c>
      <c r="C1106" t="s">
        <v>1</v>
      </c>
      <c r="D1106" s="1">
        <v>32481</v>
      </c>
      <c r="E1106" s="1">
        <v>377561</v>
      </c>
      <c r="F1106" s="2">
        <v>41970</v>
      </c>
    </row>
    <row r="1107" spans="1:6" x14ac:dyDescent="0.25">
      <c r="A1107">
        <v>2018</v>
      </c>
      <c r="B1107" t="s">
        <v>54</v>
      </c>
      <c r="C1107" t="s">
        <v>2</v>
      </c>
      <c r="D1107" s="1">
        <v>31775</v>
      </c>
      <c r="E1107" s="1">
        <v>532318</v>
      </c>
      <c r="F1107" s="2">
        <v>46734</v>
      </c>
    </row>
    <row r="1108" spans="1:6" x14ac:dyDescent="0.25">
      <c r="A1108">
        <v>2018</v>
      </c>
      <c r="B1108" t="s">
        <v>54</v>
      </c>
      <c r="C1108" t="s">
        <v>3</v>
      </c>
      <c r="D1108" s="1">
        <v>21642</v>
      </c>
      <c r="E1108" s="1">
        <v>248584</v>
      </c>
      <c r="F1108" s="2">
        <v>41450</v>
      </c>
    </row>
    <row r="1109" spans="1:6" x14ac:dyDescent="0.25">
      <c r="A1109">
        <v>2018</v>
      </c>
      <c r="B1109" t="s">
        <v>54</v>
      </c>
      <c r="C1109" t="s">
        <v>4</v>
      </c>
      <c r="D1109" s="1">
        <v>196511</v>
      </c>
      <c r="E1109" s="1">
        <v>3033009</v>
      </c>
      <c r="F1109" s="2">
        <v>52020</v>
      </c>
    </row>
    <row r="1110" spans="1:6" x14ac:dyDescent="0.25">
      <c r="A1110">
        <v>2018</v>
      </c>
      <c r="B1110" t="s">
        <v>54</v>
      </c>
      <c r="C1110" t="s">
        <v>5</v>
      </c>
      <c r="D1110" s="1">
        <v>35891</v>
      </c>
      <c r="E1110" s="1">
        <v>466602</v>
      </c>
      <c r="F1110" s="2">
        <v>50043</v>
      </c>
    </row>
    <row r="1111" spans="1:6" x14ac:dyDescent="0.25">
      <c r="A1111">
        <v>2018</v>
      </c>
      <c r="B1111" t="s">
        <v>54</v>
      </c>
      <c r="C1111" t="s">
        <v>6</v>
      </c>
      <c r="D1111" s="1">
        <v>24902</v>
      </c>
      <c r="E1111" s="1">
        <v>296173</v>
      </c>
      <c r="F1111" s="2">
        <v>51041</v>
      </c>
    </row>
    <row r="1112" spans="1:6" x14ac:dyDescent="0.25">
      <c r="A1112">
        <v>2018</v>
      </c>
      <c r="B1112" t="s">
        <v>54</v>
      </c>
      <c r="C1112" t="s">
        <v>7</v>
      </c>
      <c r="D1112" s="1">
        <v>6850</v>
      </c>
      <c r="E1112" s="1">
        <v>79300</v>
      </c>
      <c r="F1112" s="2">
        <v>40843</v>
      </c>
    </row>
    <row r="1113" spans="1:6" x14ac:dyDescent="0.25">
      <c r="A1113">
        <v>2018</v>
      </c>
      <c r="B1113" t="s">
        <v>54</v>
      </c>
      <c r="C1113" t="s">
        <v>8</v>
      </c>
      <c r="D1113" s="1">
        <v>139486</v>
      </c>
      <c r="E1113" s="1">
        <v>1772605</v>
      </c>
      <c r="F1113" s="2">
        <v>44766</v>
      </c>
    </row>
    <row r="1114" spans="1:6" x14ac:dyDescent="0.25">
      <c r="A1114">
        <v>2018</v>
      </c>
      <c r="B1114" t="s">
        <v>54</v>
      </c>
      <c r="C1114" t="s">
        <v>9</v>
      </c>
      <c r="D1114" s="1">
        <v>60996</v>
      </c>
      <c r="E1114" s="1">
        <v>934259</v>
      </c>
      <c r="F1114" s="2">
        <v>49352</v>
      </c>
    </row>
    <row r="1115" spans="1:6" x14ac:dyDescent="0.25">
      <c r="A1115">
        <v>2018</v>
      </c>
      <c r="B1115" t="s">
        <v>54</v>
      </c>
      <c r="C1115" t="s">
        <v>10</v>
      </c>
      <c r="D1115" s="1">
        <v>11969</v>
      </c>
      <c r="E1115" s="1">
        <v>139473</v>
      </c>
      <c r="F1115" s="2">
        <v>39972</v>
      </c>
    </row>
    <row r="1116" spans="1:6" x14ac:dyDescent="0.25">
      <c r="A1116">
        <v>2018</v>
      </c>
      <c r="B1116" t="s">
        <v>54</v>
      </c>
      <c r="C1116" t="s">
        <v>11</v>
      </c>
      <c r="D1116" s="1">
        <v>78063</v>
      </c>
      <c r="E1116" s="1">
        <v>1192654</v>
      </c>
      <c r="F1116" s="2">
        <v>51570</v>
      </c>
    </row>
    <row r="1117" spans="1:6" x14ac:dyDescent="0.25">
      <c r="A1117">
        <v>2018</v>
      </c>
      <c r="B1117" t="s">
        <v>54</v>
      </c>
      <c r="C1117" t="s">
        <v>12</v>
      </c>
      <c r="D1117" s="1">
        <v>40681</v>
      </c>
      <c r="E1117" s="1">
        <v>591234</v>
      </c>
      <c r="F1117" s="2">
        <v>42092</v>
      </c>
    </row>
    <row r="1118" spans="1:6" x14ac:dyDescent="0.25">
      <c r="A1118">
        <v>2018</v>
      </c>
      <c r="B1118" t="s">
        <v>54</v>
      </c>
      <c r="C1118" t="s">
        <v>13</v>
      </c>
      <c r="D1118" s="1">
        <v>23521</v>
      </c>
      <c r="E1118" s="1">
        <v>309603</v>
      </c>
      <c r="F1118" s="2">
        <v>40539</v>
      </c>
    </row>
    <row r="1119" spans="1:6" x14ac:dyDescent="0.25">
      <c r="A1119">
        <v>2018</v>
      </c>
      <c r="B1119" t="s">
        <v>54</v>
      </c>
      <c r="C1119" t="s">
        <v>14</v>
      </c>
      <c r="D1119" s="1">
        <v>20370</v>
      </c>
      <c r="E1119" s="1">
        <v>263858</v>
      </c>
      <c r="F1119" s="2">
        <v>42235</v>
      </c>
    </row>
    <row r="1120" spans="1:6" x14ac:dyDescent="0.25">
      <c r="A1120">
        <v>2018</v>
      </c>
      <c r="B1120" t="s">
        <v>54</v>
      </c>
      <c r="C1120" t="s">
        <v>15</v>
      </c>
      <c r="D1120" s="1">
        <v>28056</v>
      </c>
      <c r="E1120" s="1">
        <v>399946</v>
      </c>
      <c r="F1120" s="2">
        <v>42623</v>
      </c>
    </row>
    <row r="1121" spans="1:6" x14ac:dyDescent="0.25">
      <c r="A1121">
        <v>2018</v>
      </c>
      <c r="B1121" t="s">
        <v>54</v>
      </c>
      <c r="C1121" t="s">
        <v>16</v>
      </c>
      <c r="D1121" s="1">
        <v>30545</v>
      </c>
      <c r="E1121" s="1">
        <v>377555</v>
      </c>
      <c r="F1121" s="2">
        <v>42196</v>
      </c>
    </row>
    <row r="1122" spans="1:6" x14ac:dyDescent="0.25">
      <c r="A1122">
        <v>2018</v>
      </c>
      <c r="B1122" t="s">
        <v>54</v>
      </c>
      <c r="C1122" t="s">
        <v>17</v>
      </c>
      <c r="D1122" s="1">
        <v>10761</v>
      </c>
      <c r="E1122" s="1">
        <v>118191</v>
      </c>
      <c r="F1122" s="2">
        <v>37589</v>
      </c>
    </row>
    <row r="1123" spans="1:6" x14ac:dyDescent="0.25">
      <c r="A1123">
        <v>2018</v>
      </c>
      <c r="B1123" t="s">
        <v>54</v>
      </c>
      <c r="C1123" t="s">
        <v>18</v>
      </c>
      <c r="D1123" s="1">
        <v>32767</v>
      </c>
      <c r="E1123" s="1">
        <v>462590</v>
      </c>
      <c r="F1123" s="2">
        <v>46648</v>
      </c>
    </row>
    <row r="1124" spans="1:6" x14ac:dyDescent="0.25">
      <c r="A1124">
        <v>2018</v>
      </c>
      <c r="B1124" t="s">
        <v>54</v>
      </c>
      <c r="C1124" t="s">
        <v>19</v>
      </c>
      <c r="D1124" s="1">
        <v>42171</v>
      </c>
      <c r="E1124" s="1">
        <v>577061</v>
      </c>
      <c r="F1124" s="2">
        <v>52937</v>
      </c>
    </row>
    <row r="1125" spans="1:6" x14ac:dyDescent="0.25">
      <c r="A1125">
        <v>2018</v>
      </c>
      <c r="B1125" t="s">
        <v>54</v>
      </c>
      <c r="C1125" t="s">
        <v>20</v>
      </c>
      <c r="D1125" s="1">
        <v>52459</v>
      </c>
      <c r="E1125" s="1">
        <v>786892</v>
      </c>
      <c r="F1125" s="2">
        <v>47200</v>
      </c>
    </row>
    <row r="1126" spans="1:6" x14ac:dyDescent="0.25">
      <c r="A1126">
        <v>2018</v>
      </c>
      <c r="B1126" t="s">
        <v>54</v>
      </c>
      <c r="C1126" t="s">
        <v>21</v>
      </c>
      <c r="D1126" s="1">
        <v>37272</v>
      </c>
      <c r="E1126" s="1">
        <v>531669</v>
      </c>
      <c r="F1126" s="2">
        <v>49570</v>
      </c>
    </row>
    <row r="1127" spans="1:6" x14ac:dyDescent="0.25">
      <c r="A1127">
        <v>2018</v>
      </c>
      <c r="B1127" t="s">
        <v>54</v>
      </c>
      <c r="C1127" t="s">
        <v>22</v>
      </c>
      <c r="D1127" s="1">
        <v>19763</v>
      </c>
      <c r="E1127" s="1">
        <v>229107</v>
      </c>
      <c r="F1127" s="2">
        <v>36497</v>
      </c>
    </row>
    <row r="1128" spans="1:6" x14ac:dyDescent="0.25">
      <c r="A1128">
        <v>2018</v>
      </c>
      <c r="B1128" t="s">
        <v>54</v>
      </c>
      <c r="C1128" t="s">
        <v>23</v>
      </c>
      <c r="D1128" s="1">
        <v>38808</v>
      </c>
      <c r="E1128" s="1">
        <v>537150</v>
      </c>
      <c r="F1128" s="2">
        <v>42469</v>
      </c>
    </row>
    <row r="1129" spans="1:6" x14ac:dyDescent="0.25">
      <c r="A1129">
        <v>2018</v>
      </c>
      <c r="B1129" t="s">
        <v>54</v>
      </c>
      <c r="C1129" t="s">
        <v>24</v>
      </c>
      <c r="D1129" s="1">
        <v>9250</v>
      </c>
      <c r="E1129" s="1">
        <v>91355</v>
      </c>
      <c r="F1129" s="2">
        <v>39170</v>
      </c>
    </row>
    <row r="1130" spans="1:6" x14ac:dyDescent="0.25">
      <c r="A1130">
        <v>2018</v>
      </c>
      <c r="B1130" t="s">
        <v>54</v>
      </c>
      <c r="C1130" t="s">
        <v>25</v>
      </c>
      <c r="D1130" s="1">
        <v>14923</v>
      </c>
      <c r="E1130" s="1">
        <v>189793</v>
      </c>
      <c r="F1130" s="2">
        <v>39891</v>
      </c>
    </row>
    <row r="1131" spans="1:6" x14ac:dyDescent="0.25">
      <c r="A1131">
        <v>2018</v>
      </c>
      <c r="B1131" t="s">
        <v>54</v>
      </c>
      <c r="C1131" t="s">
        <v>26</v>
      </c>
      <c r="D1131" s="1">
        <v>15829</v>
      </c>
      <c r="E1131" s="1">
        <v>254417</v>
      </c>
      <c r="F1131" s="2">
        <v>44190</v>
      </c>
    </row>
    <row r="1132" spans="1:6" x14ac:dyDescent="0.25">
      <c r="A1132">
        <v>2018</v>
      </c>
      <c r="B1132" t="s">
        <v>54</v>
      </c>
      <c r="C1132" t="s">
        <v>27</v>
      </c>
      <c r="D1132" s="1">
        <v>12509</v>
      </c>
      <c r="E1132" s="1">
        <v>139183</v>
      </c>
      <c r="F1132" s="2">
        <v>47777</v>
      </c>
    </row>
    <row r="1133" spans="1:6" x14ac:dyDescent="0.25">
      <c r="A1133">
        <v>2018</v>
      </c>
      <c r="B1133" t="s">
        <v>54</v>
      </c>
      <c r="C1133" t="s">
        <v>28</v>
      </c>
      <c r="D1133" s="1">
        <v>54238</v>
      </c>
      <c r="E1133" s="1">
        <v>876344</v>
      </c>
      <c r="F1133" s="2">
        <v>53723</v>
      </c>
    </row>
    <row r="1134" spans="1:6" x14ac:dyDescent="0.25">
      <c r="A1134">
        <v>2018</v>
      </c>
      <c r="B1134" t="s">
        <v>54</v>
      </c>
      <c r="C1134" t="s">
        <v>29</v>
      </c>
      <c r="D1134" s="1">
        <v>10758</v>
      </c>
      <c r="E1134" s="1">
        <v>135970</v>
      </c>
      <c r="F1134" s="2">
        <v>38078</v>
      </c>
    </row>
    <row r="1135" spans="1:6" x14ac:dyDescent="0.25">
      <c r="A1135">
        <v>2018</v>
      </c>
      <c r="B1135" t="s">
        <v>54</v>
      </c>
      <c r="C1135" t="s">
        <v>30</v>
      </c>
      <c r="D1135" s="1">
        <v>123741</v>
      </c>
      <c r="E1135" s="1">
        <v>1554768</v>
      </c>
      <c r="F1135" s="2">
        <v>51832</v>
      </c>
    </row>
    <row r="1136" spans="1:6" x14ac:dyDescent="0.25">
      <c r="A1136">
        <v>2018</v>
      </c>
      <c r="B1136" t="s">
        <v>54</v>
      </c>
      <c r="C1136" t="s">
        <v>31</v>
      </c>
      <c r="D1136" s="1">
        <v>61525</v>
      </c>
      <c r="E1136" s="1">
        <v>830550</v>
      </c>
      <c r="F1136" s="2">
        <v>43092</v>
      </c>
    </row>
    <row r="1137" spans="1:6" x14ac:dyDescent="0.25">
      <c r="A1137">
        <v>2018</v>
      </c>
      <c r="B1137" t="s">
        <v>54</v>
      </c>
      <c r="C1137" t="s">
        <v>32</v>
      </c>
      <c r="D1137" s="1">
        <v>7753</v>
      </c>
      <c r="E1137" s="1">
        <v>91635</v>
      </c>
      <c r="F1137" s="2">
        <v>49819</v>
      </c>
    </row>
    <row r="1138" spans="1:6" x14ac:dyDescent="0.25">
      <c r="A1138">
        <v>2018</v>
      </c>
      <c r="B1138" t="s">
        <v>54</v>
      </c>
      <c r="C1138" t="s">
        <v>33</v>
      </c>
      <c r="D1138" s="1">
        <v>68615</v>
      </c>
      <c r="E1138" s="1">
        <v>1017249</v>
      </c>
      <c r="F1138" s="2">
        <v>44247</v>
      </c>
    </row>
    <row r="1139" spans="1:6" x14ac:dyDescent="0.25">
      <c r="A1139">
        <v>2018</v>
      </c>
      <c r="B1139" t="s">
        <v>54</v>
      </c>
      <c r="C1139" t="s">
        <v>34</v>
      </c>
      <c r="D1139" s="1">
        <v>23748</v>
      </c>
      <c r="E1139" s="1">
        <v>297631</v>
      </c>
      <c r="F1139" s="2">
        <v>41554</v>
      </c>
    </row>
    <row r="1140" spans="1:6" x14ac:dyDescent="0.25">
      <c r="A1140">
        <v>2018</v>
      </c>
      <c r="B1140" t="s">
        <v>54</v>
      </c>
      <c r="C1140" t="s">
        <v>35</v>
      </c>
      <c r="D1140" s="1">
        <v>26503</v>
      </c>
      <c r="E1140" s="1">
        <v>349656</v>
      </c>
      <c r="F1140" s="2">
        <v>44347</v>
      </c>
    </row>
    <row r="1141" spans="1:6" x14ac:dyDescent="0.25">
      <c r="A1141">
        <v>2018</v>
      </c>
      <c r="B1141" t="s">
        <v>54</v>
      </c>
      <c r="C1141" t="s">
        <v>36</v>
      </c>
      <c r="D1141" s="1">
        <v>74845</v>
      </c>
      <c r="E1141" s="1">
        <v>1117054</v>
      </c>
      <c r="F1141" s="2">
        <v>45000</v>
      </c>
    </row>
    <row r="1142" spans="1:6" x14ac:dyDescent="0.25">
      <c r="A1142">
        <v>2018</v>
      </c>
      <c r="B1142" t="s">
        <v>54</v>
      </c>
      <c r="C1142" t="s">
        <v>37</v>
      </c>
      <c r="D1142" s="1">
        <v>7658</v>
      </c>
      <c r="E1142" s="1">
        <v>76762</v>
      </c>
      <c r="F1142" s="2">
        <v>43902</v>
      </c>
    </row>
    <row r="1143" spans="1:6" x14ac:dyDescent="0.25">
      <c r="A1143">
        <v>2018</v>
      </c>
      <c r="B1143" t="s">
        <v>54</v>
      </c>
      <c r="C1143" t="s">
        <v>38</v>
      </c>
      <c r="D1143" s="1">
        <v>30013</v>
      </c>
      <c r="E1143" s="1">
        <v>402308</v>
      </c>
      <c r="F1143" s="2">
        <v>39429</v>
      </c>
    </row>
    <row r="1144" spans="1:6" x14ac:dyDescent="0.25">
      <c r="A1144">
        <v>2018</v>
      </c>
      <c r="B1144" t="s">
        <v>54</v>
      </c>
      <c r="C1144" t="s">
        <v>39</v>
      </c>
      <c r="D1144" s="1">
        <v>8059</v>
      </c>
      <c r="E1144" s="1">
        <v>85734</v>
      </c>
      <c r="F1144" s="2">
        <v>39650</v>
      </c>
    </row>
    <row r="1145" spans="1:6" x14ac:dyDescent="0.25">
      <c r="A1145">
        <v>2018</v>
      </c>
      <c r="B1145" t="s">
        <v>54</v>
      </c>
      <c r="C1145" t="s">
        <v>40</v>
      </c>
      <c r="D1145" s="1">
        <v>40040</v>
      </c>
      <c r="E1145" s="1">
        <v>623566</v>
      </c>
      <c r="F1145" s="2">
        <v>46137</v>
      </c>
    </row>
    <row r="1146" spans="1:6" x14ac:dyDescent="0.25">
      <c r="A1146">
        <v>2018</v>
      </c>
      <c r="B1146" t="s">
        <v>54</v>
      </c>
      <c r="C1146" t="s">
        <v>41</v>
      </c>
      <c r="D1146" s="1">
        <v>147447</v>
      </c>
      <c r="E1146" s="1">
        <v>2465009</v>
      </c>
      <c r="F1146" s="2">
        <v>52337</v>
      </c>
    </row>
    <row r="1147" spans="1:6" x14ac:dyDescent="0.25">
      <c r="A1147">
        <v>2018</v>
      </c>
      <c r="B1147" t="s">
        <v>54</v>
      </c>
      <c r="C1147" t="s">
        <v>42</v>
      </c>
      <c r="D1147" s="1">
        <v>19531</v>
      </c>
      <c r="E1147" s="1">
        <v>284283</v>
      </c>
      <c r="F1147" s="2">
        <v>44163</v>
      </c>
    </row>
    <row r="1148" spans="1:6" x14ac:dyDescent="0.25">
      <c r="A1148">
        <v>2018</v>
      </c>
      <c r="B1148" t="s">
        <v>54</v>
      </c>
      <c r="C1148" t="s">
        <v>43</v>
      </c>
      <c r="D1148" s="1">
        <v>5084</v>
      </c>
      <c r="E1148" s="1">
        <v>54476</v>
      </c>
      <c r="F1148" s="2">
        <v>40351</v>
      </c>
    </row>
    <row r="1149" spans="1:6" x14ac:dyDescent="0.25">
      <c r="A1149">
        <v>2018</v>
      </c>
      <c r="B1149" t="s">
        <v>54</v>
      </c>
      <c r="C1149" t="s">
        <v>44</v>
      </c>
      <c r="D1149" s="1">
        <v>43180</v>
      </c>
      <c r="E1149" s="1">
        <v>650233</v>
      </c>
      <c r="F1149" s="2">
        <v>43886</v>
      </c>
    </row>
    <row r="1150" spans="1:6" x14ac:dyDescent="0.25">
      <c r="A1150">
        <v>2018</v>
      </c>
      <c r="B1150" t="s">
        <v>54</v>
      </c>
      <c r="C1150" t="s">
        <v>45</v>
      </c>
      <c r="D1150" s="1">
        <v>39324</v>
      </c>
      <c r="E1150" s="1">
        <v>621384</v>
      </c>
      <c r="F1150" s="2">
        <v>63994</v>
      </c>
    </row>
    <row r="1151" spans="1:6" x14ac:dyDescent="0.25">
      <c r="A1151">
        <v>2018</v>
      </c>
      <c r="B1151" t="s">
        <v>54</v>
      </c>
      <c r="C1151" t="s">
        <v>46</v>
      </c>
      <c r="D1151" s="1">
        <v>10925</v>
      </c>
      <c r="E1151" s="1">
        <v>128211</v>
      </c>
      <c r="F1151" s="2">
        <v>38698</v>
      </c>
    </row>
    <row r="1152" spans="1:6" x14ac:dyDescent="0.25">
      <c r="A1152">
        <v>2018</v>
      </c>
      <c r="B1152" t="s">
        <v>54</v>
      </c>
      <c r="C1152" t="s">
        <v>47</v>
      </c>
      <c r="D1152" s="1">
        <v>36496</v>
      </c>
      <c r="E1152" s="1">
        <v>541333</v>
      </c>
      <c r="F1152" s="2">
        <v>41512</v>
      </c>
    </row>
    <row r="1153" spans="1:6" x14ac:dyDescent="0.25">
      <c r="A1153">
        <v>2018</v>
      </c>
      <c r="B1153" t="s">
        <v>54</v>
      </c>
      <c r="C1153" t="s">
        <v>48</v>
      </c>
      <c r="D1153" s="1">
        <v>4830</v>
      </c>
      <c r="E1153" s="1">
        <v>49819</v>
      </c>
      <c r="F1153" s="2">
        <v>42737</v>
      </c>
    </row>
    <row r="1154" spans="1:6" x14ac:dyDescent="0.25">
      <c r="A1154">
        <v>2018</v>
      </c>
      <c r="B1154" t="s">
        <v>53</v>
      </c>
      <c r="C1154" t="s">
        <v>1</v>
      </c>
      <c r="D1154" s="1">
        <v>2168</v>
      </c>
      <c r="E1154" s="1">
        <v>21030</v>
      </c>
      <c r="F1154" s="2">
        <v>60025</v>
      </c>
    </row>
    <row r="1155" spans="1:6" x14ac:dyDescent="0.25">
      <c r="A1155">
        <v>2018</v>
      </c>
      <c r="B1155" t="s">
        <v>53</v>
      </c>
      <c r="C1155" t="s">
        <v>2</v>
      </c>
      <c r="D1155" s="1">
        <v>3113</v>
      </c>
      <c r="E1155" s="1">
        <v>47340</v>
      </c>
      <c r="F1155" s="2">
        <v>75499</v>
      </c>
    </row>
    <row r="1156" spans="1:6" x14ac:dyDescent="0.25">
      <c r="A1156">
        <v>2018</v>
      </c>
      <c r="B1156" t="s">
        <v>53</v>
      </c>
      <c r="C1156" t="s">
        <v>3</v>
      </c>
      <c r="D1156" s="1">
        <v>1210</v>
      </c>
      <c r="E1156" s="1">
        <v>10913</v>
      </c>
      <c r="F1156" s="2">
        <v>53828</v>
      </c>
    </row>
    <row r="1157" spans="1:6" x14ac:dyDescent="0.25">
      <c r="A1157">
        <v>2018</v>
      </c>
      <c r="B1157" t="s">
        <v>53</v>
      </c>
      <c r="C1157" t="s">
        <v>4</v>
      </c>
      <c r="D1157" s="1">
        <v>26592</v>
      </c>
      <c r="E1157" s="1">
        <v>525771</v>
      </c>
      <c r="F1157" s="2">
        <v>188173</v>
      </c>
    </row>
    <row r="1158" spans="1:6" x14ac:dyDescent="0.25">
      <c r="A1158">
        <v>2018</v>
      </c>
      <c r="B1158" t="s">
        <v>53</v>
      </c>
      <c r="C1158" t="s">
        <v>5</v>
      </c>
      <c r="D1158" s="1">
        <v>4173</v>
      </c>
      <c r="E1158" s="1">
        <v>75076</v>
      </c>
      <c r="F1158" s="2">
        <v>100735</v>
      </c>
    </row>
    <row r="1159" spans="1:6" x14ac:dyDescent="0.25">
      <c r="A1159">
        <v>2018</v>
      </c>
      <c r="B1159" t="s">
        <v>53</v>
      </c>
      <c r="C1159" t="s">
        <v>6</v>
      </c>
      <c r="D1159" s="1">
        <v>2306</v>
      </c>
      <c r="E1159" s="1">
        <v>31734</v>
      </c>
      <c r="F1159" s="2">
        <v>110642</v>
      </c>
    </row>
    <row r="1160" spans="1:6" x14ac:dyDescent="0.25">
      <c r="A1160">
        <v>2018</v>
      </c>
      <c r="B1160" t="s">
        <v>53</v>
      </c>
      <c r="C1160" t="s">
        <v>7</v>
      </c>
      <c r="D1160">
        <v>433</v>
      </c>
      <c r="E1160" s="1">
        <v>4065</v>
      </c>
      <c r="F1160" s="2">
        <v>65782</v>
      </c>
    </row>
    <row r="1161" spans="1:6" x14ac:dyDescent="0.25">
      <c r="A1161">
        <v>2018</v>
      </c>
      <c r="B1161" t="s">
        <v>53</v>
      </c>
      <c r="C1161" t="s">
        <v>8</v>
      </c>
      <c r="D1161" s="1">
        <v>11205</v>
      </c>
      <c r="E1161" s="1">
        <v>138995</v>
      </c>
      <c r="F1161" s="2">
        <v>81168</v>
      </c>
    </row>
    <row r="1162" spans="1:6" x14ac:dyDescent="0.25">
      <c r="A1162">
        <v>2018</v>
      </c>
      <c r="B1162" t="s">
        <v>53</v>
      </c>
      <c r="C1162" t="s">
        <v>9</v>
      </c>
      <c r="D1162" s="1">
        <v>5113</v>
      </c>
      <c r="E1162" s="1">
        <v>114231</v>
      </c>
      <c r="F1162" s="2">
        <v>96613</v>
      </c>
    </row>
    <row r="1163" spans="1:6" x14ac:dyDescent="0.25">
      <c r="A1163">
        <v>2018</v>
      </c>
      <c r="B1163" t="s">
        <v>53</v>
      </c>
      <c r="C1163" t="s">
        <v>10</v>
      </c>
      <c r="D1163" s="1">
        <v>1223</v>
      </c>
      <c r="E1163" s="1">
        <v>8798</v>
      </c>
      <c r="F1163" s="2">
        <v>52761</v>
      </c>
    </row>
    <row r="1164" spans="1:6" x14ac:dyDescent="0.25">
      <c r="A1164">
        <v>2018</v>
      </c>
      <c r="B1164" t="s">
        <v>53</v>
      </c>
      <c r="C1164" t="s">
        <v>11</v>
      </c>
      <c r="D1164" s="1">
        <v>6688</v>
      </c>
      <c r="E1164" s="1">
        <v>94330</v>
      </c>
      <c r="F1164" s="2">
        <v>91164</v>
      </c>
    </row>
    <row r="1165" spans="1:6" x14ac:dyDescent="0.25">
      <c r="A1165">
        <v>2018</v>
      </c>
      <c r="B1165" t="s">
        <v>53</v>
      </c>
      <c r="C1165" t="s">
        <v>12</v>
      </c>
      <c r="D1165" s="1">
        <v>2123</v>
      </c>
      <c r="E1165" s="1">
        <v>29375</v>
      </c>
      <c r="F1165" s="2">
        <v>60371</v>
      </c>
    </row>
    <row r="1166" spans="1:6" x14ac:dyDescent="0.25">
      <c r="A1166">
        <v>2018</v>
      </c>
      <c r="B1166" t="s">
        <v>53</v>
      </c>
      <c r="C1166" t="s">
        <v>13</v>
      </c>
      <c r="D1166" s="1">
        <v>1742</v>
      </c>
      <c r="E1166" s="1">
        <v>22018</v>
      </c>
      <c r="F1166" s="2">
        <v>58519</v>
      </c>
    </row>
    <row r="1167" spans="1:6" x14ac:dyDescent="0.25">
      <c r="A1167">
        <v>2018</v>
      </c>
      <c r="B1167" t="s">
        <v>53</v>
      </c>
      <c r="C1167" t="s">
        <v>14</v>
      </c>
      <c r="D1167" s="1">
        <v>1308</v>
      </c>
      <c r="E1167" s="1">
        <v>18664</v>
      </c>
      <c r="F1167" s="2">
        <v>63399</v>
      </c>
    </row>
    <row r="1168" spans="1:6" x14ac:dyDescent="0.25">
      <c r="A1168">
        <v>2018</v>
      </c>
      <c r="B1168" t="s">
        <v>53</v>
      </c>
      <c r="C1168" t="s">
        <v>15</v>
      </c>
      <c r="D1168" s="1">
        <v>1785</v>
      </c>
      <c r="E1168" s="1">
        <v>21989</v>
      </c>
      <c r="F1168" s="2">
        <v>54629</v>
      </c>
    </row>
    <row r="1169" spans="1:6" x14ac:dyDescent="0.25">
      <c r="A1169">
        <v>2018</v>
      </c>
      <c r="B1169" t="s">
        <v>53</v>
      </c>
      <c r="C1169" t="s">
        <v>16</v>
      </c>
      <c r="D1169" s="1">
        <v>1716</v>
      </c>
      <c r="E1169" s="1">
        <v>22869</v>
      </c>
      <c r="F1169" s="2">
        <v>58223</v>
      </c>
    </row>
    <row r="1170" spans="1:6" x14ac:dyDescent="0.25">
      <c r="A1170">
        <v>2018</v>
      </c>
      <c r="B1170" t="s">
        <v>53</v>
      </c>
      <c r="C1170" t="s">
        <v>17</v>
      </c>
      <c r="D1170">
        <v>849</v>
      </c>
      <c r="E1170" s="1">
        <v>7397</v>
      </c>
      <c r="F1170" s="2">
        <v>54502</v>
      </c>
    </row>
    <row r="1171" spans="1:6" x14ac:dyDescent="0.25">
      <c r="A1171">
        <v>2018</v>
      </c>
      <c r="B1171" t="s">
        <v>53</v>
      </c>
      <c r="C1171" t="s">
        <v>18</v>
      </c>
      <c r="D1171" s="1">
        <v>2737</v>
      </c>
      <c r="E1171" s="1">
        <v>36210</v>
      </c>
      <c r="F1171" s="2">
        <v>92844</v>
      </c>
    </row>
    <row r="1172" spans="1:6" x14ac:dyDescent="0.25">
      <c r="A1172">
        <v>2018</v>
      </c>
      <c r="B1172" t="s">
        <v>53</v>
      </c>
      <c r="C1172" t="s">
        <v>19</v>
      </c>
      <c r="D1172" s="1">
        <v>5379</v>
      </c>
      <c r="E1172" s="1">
        <v>91783</v>
      </c>
      <c r="F1172" s="2">
        <v>123118</v>
      </c>
    </row>
    <row r="1173" spans="1:6" x14ac:dyDescent="0.25">
      <c r="A1173">
        <v>2018</v>
      </c>
      <c r="B1173" t="s">
        <v>53</v>
      </c>
      <c r="C1173" t="s">
        <v>20</v>
      </c>
      <c r="D1173" s="1">
        <v>6287</v>
      </c>
      <c r="E1173" s="1">
        <v>56247</v>
      </c>
      <c r="F1173" s="2">
        <v>73556</v>
      </c>
    </row>
    <row r="1174" spans="1:6" x14ac:dyDescent="0.25">
      <c r="A1174">
        <v>2018</v>
      </c>
      <c r="B1174" t="s">
        <v>53</v>
      </c>
      <c r="C1174" t="s">
        <v>21</v>
      </c>
      <c r="D1174" s="1">
        <v>3977</v>
      </c>
      <c r="E1174" s="1">
        <v>49170</v>
      </c>
      <c r="F1174" s="2">
        <v>78903</v>
      </c>
    </row>
    <row r="1175" spans="1:6" x14ac:dyDescent="0.25">
      <c r="A1175">
        <v>2018</v>
      </c>
      <c r="B1175" t="s">
        <v>53</v>
      </c>
      <c r="C1175" t="s">
        <v>22</v>
      </c>
      <c r="D1175">
        <v>940</v>
      </c>
      <c r="E1175" s="1">
        <v>10980</v>
      </c>
      <c r="F1175" s="2">
        <v>49173</v>
      </c>
    </row>
    <row r="1176" spans="1:6" x14ac:dyDescent="0.25">
      <c r="A1176">
        <v>2018</v>
      </c>
      <c r="B1176" t="s">
        <v>53</v>
      </c>
      <c r="C1176" t="s">
        <v>23</v>
      </c>
      <c r="D1176" s="1">
        <v>3049</v>
      </c>
      <c r="E1176" s="1">
        <v>47666</v>
      </c>
      <c r="F1176" s="2">
        <v>81842</v>
      </c>
    </row>
    <row r="1177" spans="1:6" x14ac:dyDescent="0.25">
      <c r="A1177">
        <v>2018</v>
      </c>
      <c r="B1177" t="s">
        <v>53</v>
      </c>
      <c r="C1177" t="s">
        <v>24</v>
      </c>
      <c r="D1177">
        <v>801</v>
      </c>
      <c r="E1177" s="1">
        <v>6350</v>
      </c>
      <c r="F1177" s="2">
        <v>54475</v>
      </c>
    </row>
    <row r="1178" spans="1:6" x14ac:dyDescent="0.25">
      <c r="A1178">
        <v>2018</v>
      </c>
      <c r="B1178" t="s">
        <v>53</v>
      </c>
      <c r="C1178" t="s">
        <v>25</v>
      </c>
      <c r="D1178">
        <v>973</v>
      </c>
      <c r="E1178" s="1">
        <v>17653</v>
      </c>
      <c r="F1178" s="2">
        <v>64407</v>
      </c>
    </row>
    <row r="1179" spans="1:6" x14ac:dyDescent="0.25">
      <c r="A1179">
        <v>2018</v>
      </c>
      <c r="B1179" t="s">
        <v>53</v>
      </c>
      <c r="C1179" t="s">
        <v>26</v>
      </c>
      <c r="D1179" s="1">
        <v>1541</v>
      </c>
      <c r="E1179" s="1">
        <v>15646</v>
      </c>
      <c r="F1179" s="2">
        <v>70292</v>
      </c>
    </row>
    <row r="1180" spans="1:6" x14ac:dyDescent="0.25">
      <c r="A1180">
        <v>2018</v>
      </c>
      <c r="B1180" t="s">
        <v>53</v>
      </c>
      <c r="C1180" t="s">
        <v>27</v>
      </c>
      <c r="D1180">
        <v>892</v>
      </c>
      <c r="E1180" s="1">
        <v>12351</v>
      </c>
      <c r="F1180" s="2">
        <v>93599</v>
      </c>
    </row>
    <row r="1181" spans="1:6" x14ac:dyDescent="0.25">
      <c r="A1181">
        <v>2018</v>
      </c>
      <c r="B1181" t="s">
        <v>53</v>
      </c>
      <c r="C1181" t="s">
        <v>28</v>
      </c>
      <c r="D1181" s="1">
        <v>3722</v>
      </c>
      <c r="E1181" s="1">
        <v>69519</v>
      </c>
      <c r="F1181" s="2">
        <v>114630</v>
      </c>
    </row>
    <row r="1182" spans="1:6" x14ac:dyDescent="0.25">
      <c r="A1182">
        <v>2018</v>
      </c>
      <c r="B1182" t="s">
        <v>53</v>
      </c>
      <c r="C1182" t="s">
        <v>29</v>
      </c>
      <c r="D1182">
        <v>987</v>
      </c>
      <c r="E1182" s="1">
        <v>12015</v>
      </c>
      <c r="F1182" s="2">
        <v>53204</v>
      </c>
    </row>
    <row r="1183" spans="1:6" x14ac:dyDescent="0.25">
      <c r="A1183">
        <v>2018</v>
      </c>
      <c r="B1183" t="s">
        <v>53</v>
      </c>
      <c r="C1183" t="s">
        <v>30</v>
      </c>
      <c r="D1183" s="1">
        <v>12672</v>
      </c>
      <c r="E1183" s="1">
        <v>275598</v>
      </c>
      <c r="F1183" s="2">
        <v>129853</v>
      </c>
    </row>
    <row r="1184" spans="1:6" x14ac:dyDescent="0.25">
      <c r="A1184">
        <v>2018</v>
      </c>
      <c r="B1184" t="s">
        <v>53</v>
      </c>
      <c r="C1184" t="s">
        <v>31</v>
      </c>
      <c r="D1184" s="1">
        <v>5238</v>
      </c>
      <c r="E1184" s="1">
        <v>79945</v>
      </c>
      <c r="F1184" s="2">
        <v>83920</v>
      </c>
    </row>
    <row r="1185" spans="1:6" x14ac:dyDescent="0.25">
      <c r="A1185">
        <v>2018</v>
      </c>
      <c r="B1185" t="s">
        <v>53</v>
      </c>
      <c r="C1185" t="s">
        <v>32</v>
      </c>
      <c r="D1185">
        <v>395</v>
      </c>
      <c r="E1185" s="1">
        <v>6221</v>
      </c>
      <c r="F1185" s="2">
        <v>70208</v>
      </c>
    </row>
    <row r="1186" spans="1:6" x14ac:dyDescent="0.25">
      <c r="A1186">
        <v>2018</v>
      </c>
      <c r="B1186" t="s">
        <v>53</v>
      </c>
      <c r="C1186" t="s">
        <v>33</v>
      </c>
      <c r="D1186" s="1">
        <v>4616</v>
      </c>
      <c r="E1186" s="1">
        <v>70930</v>
      </c>
      <c r="F1186" s="2">
        <v>70006</v>
      </c>
    </row>
    <row r="1187" spans="1:6" x14ac:dyDescent="0.25">
      <c r="A1187">
        <v>2018</v>
      </c>
      <c r="B1187" t="s">
        <v>53</v>
      </c>
      <c r="C1187" t="s">
        <v>34</v>
      </c>
      <c r="D1187" s="1">
        <v>1469</v>
      </c>
      <c r="E1187" s="1">
        <v>19859</v>
      </c>
      <c r="F1187" s="2">
        <v>58997</v>
      </c>
    </row>
    <row r="1188" spans="1:6" x14ac:dyDescent="0.25">
      <c r="A1188">
        <v>2018</v>
      </c>
      <c r="B1188" t="s">
        <v>53</v>
      </c>
      <c r="C1188" t="s">
        <v>35</v>
      </c>
      <c r="D1188" s="1">
        <v>3768</v>
      </c>
      <c r="E1188" s="1">
        <v>34277</v>
      </c>
      <c r="F1188" s="2">
        <v>87733</v>
      </c>
    </row>
    <row r="1189" spans="1:6" x14ac:dyDescent="0.25">
      <c r="A1189">
        <v>2018</v>
      </c>
      <c r="B1189" t="s">
        <v>53</v>
      </c>
      <c r="C1189" t="s">
        <v>36</v>
      </c>
      <c r="D1189" s="1">
        <v>4896</v>
      </c>
      <c r="E1189" s="1">
        <v>85970</v>
      </c>
      <c r="F1189" s="2">
        <v>87091</v>
      </c>
    </row>
    <row r="1190" spans="1:6" x14ac:dyDescent="0.25">
      <c r="A1190">
        <v>2018</v>
      </c>
      <c r="B1190" t="s">
        <v>53</v>
      </c>
      <c r="C1190" t="s">
        <v>37</v>
      </c>
      <c r="D1190">
        <v>715</v>
      </c>
      <c r="E1190" s="1">
        <v>5930</v>
      </c>
      <c r="F1190" s="2">
        <v>74327</v>
      </c>
    </row>
    <row r="1191" spans="1:6" x14ac:dyDescent="0.25">
      <c r="A1191">
        <v>2018</v>
      </c>
      <c r="B1191" t="s">
        <v>53</v>
      </c>
      <c r="C1191" t="s">
        <v>38</v>
      </c>
      <c r="D1191" s="1">
        <v>2548</v>
      </c>
      <c r="E1191" s="1">
        <v>28067</v>
      </c>
      <c r="F1191" s="2">
        <v>61977</v>
      </c>
    </row>
    <row r="1192" spans="1:6" x14ac:dyDescent="0.25">
      <c r="A1192">
        <v>2018</v>
      </c>
      <c r="B1192" t="s">
        <v>53</v>
      </c>
      <c r="C1192" t="s">
        <v>39</v>
      </c>
      <c r="D1192">
        <v>561</v>
      </c>
      <c r="E1192" s="1">
        <v>5589</v>
      </c>
      <c r="F1192" s="2">
        <v>49334</v>
      </c>
    </row>
    <row r="1193" spans="1:6" x14ac:dyDescent="0.25">
      <c r="A1193">
        <v>2018</v>
      </c>
      <c r="B1193" t="s">
        <v>53</v>
      </c>
      <c r="C1193" t="s">
        <v>40</v>
      </c>
      <c r="D1193" s="1">
        <v>3519</v>
      </c>
      <c r="E1193" s="1">
        <v>44851</v>
      </c>
      <c r="F1193" s="2">
        <v>73821</v>
      </c>
    </row>
    <row r="1194" spans="1:6" x14ac:dyDescent="0.25">
      <c r="A1194">
        <v>2018</v>
      </c>
      <c r="B1194" t="s">
        <v>53</v>
      </c>
      <c r="C1194" t="s">
        <v>41</v>
      </c>
      <c r="D1194" s="1">
        <v>9828</v>
      </c>
      <c r="E1194" s="1">
        <v>203822</v>
      </c>
      <c r="F1194" s="2">
        <v>87085</v>
      </c>
    </row>
    <row r="1195" spans="1:6" x14ac:dyDescent="0.25">
      <c r="A1195">
        <v>2018</v>
      </c>
      <c r="B1195" t="s">
        <v>53</v>
      </c>
      <c r="C1195" t="s">
        <v>42</v>
      </c>
      <c r="D1195" s="1">
        <v>2489</v>
      </c>
      <c r="E1195" s="1">
        <v>36783</v>
      </c>
      <c r="F1195" s="2">
        <v>78404</v>
      </c>
    </row>
    <row r="1196" spans="1:6" x14ac:dyDescent="0.25">
      <c r="A1196">
        <v>2018</v>
      </c>
      <c r="B1196" t="s">
        <v>53</v>
      </c>
      <c r="C1196" t="s">
        <v>43</v>
      </c>
      <c r="D1196">
        <v>505</v>
      </c>
      <c r="E1196" s="1">
        <v>4280</v>
      </c>
      <c r="F1196" s="2">
        <v>59800</v>
      </c>
    </row>
    <row r="1197" spans="1:6" x14ac:dyDescent="0.25">
      <c r="A1197">
        <v>2018</v>
      </c>
      <c r="B1197" t="s">
        <v>53</v>
      </c>
      <c r="C1197" t="s">
        <v>44</v>
      </c>
      <c r="D1197" s="1">
        <v>4379</v>
      </c>
      <c r="E1197" s="1">
        <v>66998</v>
      </c>
      <c r="F1197" s="2">
        <v>100731</v>
      </c>
    </row>
    <row r="1198" spans="1:6" x14ac:dyDescent="0.25">
      <c r="A1198">
        <v>2018</v>
      </c>
      <c r="B1198" t="s">
        <v>53</v>
      </c>
      <c r="C1198" t="s">
        <v>45</v>
      </c>
      <c r="D1198" s="1">
        <v>4629</v>
      </c>
      <c r="E1198" s="1">
        <v>133126</v>
      </c>
      <c r="F1198" s="2">
        <v>194631</v>
      </c>
    </row>
    <row r="1199" spans="1:6" x14ac:dyDescent="0.25">
      <c r="A1199">
        <v>2018</v>
      </c>
      <c r="B1199" t="s">
        <v>53</v>
      </c>
      <c r="C1199" t="s">
        <v>46</v>
      </c>
      <c r="D1199">
        <v>789</v>
      </c>
      <c r="E1199" s="1">
        <v>8288</v>
      </c>
      <c r="F1199" s="2">
        <v>52508</v>
      </c>
    </row>
    <row r="1200" spans="1:6" x14ac:dyDescent="0.25">
      <c r="A1200">
        <v>2018</v>
      </c>
      <c r="B1200" t="s">
        <v>53</v>
      </c>
      <c r="C1200" t="s">
        <v>47</v>
      </c>
      <c r="D1200" s="1">
        <v>2298</v>
      </c>
      <c r="E1200" s="1">
        <v>47152</v>
      </c>
      <c r="F1200" s="2">
        <v>75414</v>
      </c>
    </row>
    <row r="1201" spans="1:6" x14ac:dyDescent="0.25">
      <c r="A1201">
        <v>2018</v>
      </c>
      <c r="B1201" t="s">
        <v>53</v>
      </c>
      <c r="C1201" t="s">
        <v>48</v>
      </c>
      <c r="D1201">
        <v>398</v>
      </c>
      <c r="E1201" s="1">
        <v>3554</v>
      </c>
      <c r="F1201" s="2">
        <v>47401</v>
      </c>
    </row>
    <row r="1202" spans="1:6" x14ac:dyDescent="0.25">
      <c r="A1202">
        <v>2018</v>
      </c>
      <c r="B1202" t="s">
        <v>56</v>
      </c>
      <c r="C1202" t="s">
        <v>1</v>
      </c>
      <c r="D1202" s="1">
        <v>13364</v>
      </c>
      <c r="E1202" s="1">
        <v>94561</v>
      </c>
      <c r="F1202" s="2">
        <v>69240</v>
      </c>
    </row>
    <row r="1203" spans="1:6" x14ac:dyDescent="0.25">
      <c r="A1203">
        <v>2018</v>
      </c>
      <c r="B1203" t="s">
        <v>56</v>
      </c>
      <c r="C1203" t="s">
        <v>2</v>
      </c>
      <c r="D1203" s="1">
        <v>17978</v>
      </c>
      <c r="E1203" s="1">
        <v>214637</v>
      </c>
      <c r="F1203" s="2">
        <v>70877</v>
      </c>
    </row>
    <row r="1204" spans="1:6" x14ac:dyDescent="0.25">
      <c r="A1204">
        <v>2018</v>
      </c>
      <c r="B1204" t="s">
        <v>56</v>
      </c>
      <c r="C1204" t="s">
        <v>3</v>
      </c>
      <c r="D1204" s="1">
        <v>8418</v>
      </c>
      <c r="E1204" s="1">
        <v>50647</v>
      </c>
      <c r="F1204" s="2">
        <v>58119</v>
      </c>
    </row>
    <row r="1205" spans="1:6" x14ac:dyDescent="0.25">
      <c r="A1205">
        <v>2018</v>
      </c>
      <c r="B1205" t="s">
        <v>56</v>
      </c>
      <c r="C1205" t="s">
        <v>4</v>
      </c>
      <c r="D1205" s="1">
        <v>106953</v>
      </c>
      <c r="E1205" s="1">
        <v>835896</v>
      </c>
      <c r="F1205" s="2">
        <v>107228</v>
      </c>
    </row>
    <row r="1206" spans="1:6" x14ac:dyDescent="0.25">
      <c r="A1206">
        <v>2018</v>
      </c>
      <c r="B1206" t="s">
        <v>56</v>
      </c>
      <c r="C1206" t="s">
        <v>5</v>
      </c>
      <c r="D1206" s="1">
        <v>23326</v>
      </c>
      <c r="E1206" s="1">
        <v>164801</v>
      </c>
      <c r="F1206" s="2">
        <v>84615</v>
      </c>
    </row>
    <row r="1207" spans="1:6" x14ac:dyDescent="0.25">
      <c r="A1207">
        <v>2018</v>
      </c>
      <c r="B1207" t="s">
        <v>56</v>
      </c>
      <c r="C1207" t="s">
        <v>6</v>
      </c>
      <c r="D1207" s="1">
        <v>10879</v>
      </c>
      <c r="E1207" s="1">
        <v>123655</v>
      </c>
      <c r="F1207" s="2">
        <v>155433</v>
      </c>
    </row>
    <row r="1208" spans="1:6" x14ac:dyDescent="0.25">
      <c r="A1208">
        <v>2018</v>
      </c>
      <c r="B1208" t="s">
        <v>56</v>
      </c>
      <c r="C1208" t="s">
        <v>7</v>
      </c>
      <c r="D1208" s="1">
        <v>2859</v>
      </c>
      <c r="E1208" s="1">
        <v>47609</v>
      </c>
      <c r="F1208" s="2">
        <v>95574</v>
      </c>
    </row>
    <row r="1209" spans="1:6" x14ac:dyDescent="0.25">
      <c r="A1209">
        <v>2018</v>
      </c>
      <c r="B1209" t="s">
        <v>56</v>
      </c>
      <c r="C1209" t="s">
        <v>8</v>
      </c>
      <c r="D1209" s="1">
        <v>73412</v>
      </c>
      <c r="E1209" s="1">
        <v>570645</v>
      </c>
      <c r="F1209" s="2">
        <v>75337</v>
      </c>
    </row>
    <row r="1210" spans="1:6" x14ac:dyDescent="0.25">
      <c r="A1210">
        <v>2018</v>
      </c>
      <c r="B1210" t="s">
        <v>56</v>
      </c>
      <c r="C1210" t="s">
        <v>9</v>
      </c>
      <c r="D1210" s="1">
        <v>26225</v>
      </c>
      <c r="E1210" s="1">
        <v>237900</v>
      </c>
      <c r="F1210" s="2">
        <v>84587</v>
      </c>
    </row>
    <row r="1211" spans="1:6" x14ac:dyDescent="0.25">
      <c r="A1211">
        <v>2018</v>
      </c>
      <c r="B1211" t="s">
        <v>56</v>
      </c>
      <c r="C1211" t="s">
        <v>10</v>
      </c>
      <c r="D1211" s="1">
        <v>5824</v>
      </c>
      <c r="E1211" s="1">
        <v>32493</v>
      </c>
      <c r="F1211" s="2">
        <v>56024</v>
      </c>
    </row>
    <row r="1212" spans="1:6" x14ac:dyDescent="0.25">
      <c r="A1212">
        <v>2018</v>
      </c>
      <c r="B1212" t="s">
        <v>56</v>
      </c>
      <c r="C1212" t="s">
        <v>11</v>
      </c>
      <c r="D1212" s="1">
        <v>32448</v>
      </c>
      <c r="E1212" s="1">
        <v>373685</v>
      </c>
      <c r="F1212" s="2">
        <v>109598</v>
      </c>
    </row>
    <row r="1213" spans="1:6" x14ac:dyDescent="0.25">
      <c r="A1213">
        <v>2018</v>
      </c>
      <c r="B1213" t="s">
        <v>56</v>
      </c>
      <c r="C1213" t="s">
        <v>12</v>
      </c>
      <c r="D1213" s="1">
        <v>16542</v>
      </c>
      <c r="E1213" s="1">
        <v>133603</v>
      </c>
      <c r="F1213" s="2">
        <v>65167</v>
      </c>
    </row>
    <row r="1214" spans="1:6" x14ac:dyDescent="0.25">
      <c r="A1214">
        <v>2018</v>
      </c>
      <c r="B1214" t="s">
        <v>56</v>
      </c>
      <c r="C1214" t="s">
        <v>13</v>
      </c>
      <c r="D1214" s="1">
        <v>10213</v>
      </c>
      <c r="E1214" s="1">
        <v>109030</v>
      </c>
      <c r="F1214" s="2">
        <v>73894</v>
      </c>
    </row>
    <row r="1215" spans="1:6" x14ac:dyDescent="0.25">
      <c r="A1215">
        <v>2018</v>
      </c>
      <c r="B1215" t="s">
        <v>56</v>
      </c>
      <c r="C1215" t="s">
        <v>14</v>
      </c>
      <c r="D1215" s="1">
        <v>8870</v>
      </c>
      <c r="E1215" s="1">
        <v>73500</v>
      </c>
      <c r="F1215" s="2">
        <v>67710</v>
      </c>
    </row>
    <row r="1216" spans="1:6" x14ac:dyDescent="0.25">
      <c r="A1216">
        <v>2018</v>
      </c>
      <c r="B1216" t="s">
        <v>56</v>
      </c>
      <c r="C1216" t="s">
        <v>15</v>
      </c>
      <c r="D1216" s="1">
        <v>11035</v>
      </c>
      <c r="E1216" s="1">
        <v>92881</v>
      </c>
      <c r="F1216" s="2">
        <v>67733</v>
      </c>
    </row>
    <row r="1217" spans="1:6" x14ac:dyDescent="0.25">
      <c r="A1217">
        <v>2018</v>
      </c>
      <c r="B1217" t="s">
        <v>56</v>
      </c>
      <c r="C1217" t="s">
        <v>16</v>
      </c>
      <c r="D1217" s="1">
        <v>13754</v>
      </c>
      <c r="E1217" s="1">
        <v>85071</v>
      </c>
      <c r="F1217" s="2">
        <v>62731</v>
      </c>
    </row>
    <row r="1218" spans="1:6" x14ac:dyDescent="0.25">
      <c r="A1218">
        <v>2018</v>
      </c>
      <c r="B1218" t="s">
        <v>56</v>
      </c>
      <c r="C1218" t="s">
        <v>17</v>
      </c>
      <c r="D1218" s="1">
        <v>3804</v>
      </c>
      <c r="E1218" s="1">
        <v>29811</v>
      </c>
      <c r="F1218" s="2">
        <v>68174</v>
      </c>
    </row>
    <row r="1219" spans="1:6" x14ac:dyDescent="0.25">
      <c r="A1219">
        <v>2018</v>
      </c>
      <c r="B1219" t="s">
        <v>56</v>
      </c>
      <c r="C1219" t="s">
        <v>18</v>
      </c>
      <c r="D1219" s="1">
        <v>15277</v>
      </c>
      <c r="E1219" s="1">
        <v>138261</v>
      </c>
      <c r="F1219" s="2">
        <v>94201</v>
      </c>
    </row>
    <row r="1220" spans="1:6" x14ac:dyDescent="0.25">
      <c r="A1220">
        <v>2018</v>
      </c>
      <c r="B1220" t="s">
        <v>56</v>
      </c>
      <c r="C1220" t="s">
        <v>19</v>
      </c>
      <c r="D1220" s="1">
        <v>17504</v>
      </c>
      <c r="E1220" s="1">
        <v>217151</v>
      </c>
      <c r="F1220" s="2">
        <v>144514</v>
      </c>
    </row>
    <row r="1221" spans="1:6" x14ac:dyDescent="0.25">
      <c r="A1221">
        <v>2018</v>
      </c>
      <c r="B1221" t="s">
        <v>56</v>
      </c>
      <c r="C1221" t="s">
        <v>20</v>
      </c>
      <c r="D1221" s="1">
        <v>19082</v>
      </c>
      <c r="E1221" s="1">
        <v>203261</v>
      </c>
      <c r="F1221" s="2">
        <v>71568</v>
      </c>
    </row>
    <row r="1222" spans="1:6" x14ac:dyDescent="0.25">
      <c r="A1222">
        <v>2018</v>
      </c>
      <c r="B1222" t="s">
        <v>56</v>
      </c>
      <c r="C1222" t="s">
        <v>21</v>
      </c>
      <c r="D1222" s="1">
        <v>15877</v>
      </c>
      <c r="E1222" s="1">
        <v>178309</v>
      </c>
      <c r="F1222" s="2">
        <v>95604</v>
      </c>
    </row>
    <row r="1223" spans="1:6" x14ac:dyDescent="0.25">
      <c r="A1223">
        <v>2018</v>
      </c>
      <c r="B1223" t="s">
        <v>56</v>
      </c>
      <c r="C1223" t="s">
        <v>22</v>
      </c>
      <c r="D1223" s="1">
        <v>7959</v>
      </c>
      <c r="E1223" s="1">
        <v>42911</v>
      </c>
      <c r="F1223" s="2">
        <v>53281</v>
      </c>
    </row>
    <row r="1224" spans="1:6" x14ac:dyDescent="0.25">
      <c r="A1224">
        <v>2018</v>
      </c>
      <c r="B1224" t="s">
        <v>56</v>
      </c>
      <c r="C1224" t="s">
        <v>23</v>
      </c>
      <c r="D1224" s="1">
        <v>17251</v>
      </c>
      <c r="E1224" s="1">
        <v>162755</v>
      </c>
      <c r="F1224" s="2">
        <v>72947</v>
      </c>
    </row>
    <row r="1225" spans="1:6" x14ac:dyDescent="0.25">
      <c r="A1225">
        <v>2018</v>
      </c>
      <c r="B1225" t="s">
        <v>56</v>
      </c>
      <c r="C1225" t="s">
        <v>24</v>
      </c>
      <c r="D1225" s="1">
        <v>4297</v>
      </c>
      <c r="E1225" s="1">
        <v>21204</v>
      </c>
      <c r="F1225" s="2">
        <v>59315</v>
      </c>
    </row>
    <row r="1226" spans="1:6" x14ac:dyDescent="0.25">
      <c r="A1226">
        <v>2018</v>
      </c>
      <c r="B1226" t="s">
        <v>56</v>
      </c>
      <c r="C1226" t="s">
        <v>25</v>
      </c>
      <c r="D1226" s="1">
        <v>6683</v>
      </c>
      <c r="E1226" s="1">
        <v>66245</v>
      </c>
      <c r="F1226" s="2">
        <v>66817</v>
      </c>
    </row>
    <row r="1227" spans="1:6" x14ac:dyDescent="0.25">
      <c r="A1227">
        <v>2018</v>
      </c>
      <c r="B1227" t="s">
        <v>56</v>
      </c>
      <c r="C1227" t="s">
        <v>26</v>
      </c>
      <c r="D1227" s="1">
        <v>9082</v>
      </c>
      <c r="E1227" s="1">
        <v>63303</v>
      </c>
      <c r="F1227" s="2">
        <v>66612</v>
      </c>
    </row>
    <row r="1228" spans="1:6" x14ac:dyDescent="0.25">
      <c r="A1228">
        <v>2018</v>
      </c>
      <c r="B1228" t="s">
        <v>56</v>
      </c>
      <c r="C1228" t="s">
        <v>27</v>
      </c>
      <c r="D1228" s="1">
        <v>3838</v>
      </c>
      <c r="E1228" s="1">
        <v>33486</v>
      </c>
      <c r="F1228" s="2">
        <v>94889</v>
      </c>
    </row>
    <row r="1229" spans="1:6" x14ac:dyDescent="0.25">
      <c r="A1229">
        <v>2018</v>
      </c>
      <c r="B1229" t="s">
        <v>56</v>
      </c>
      <c r="C1229" t="s">
        <v>28</v>
      </c>
      <c r="D1229" s="1">
        <v>19963</v>
      </c>
      <c r="E1229" s="1">
        <v>242994</v>
      </c>
      <c r="F1229" s="2">
        <v>115066</v>
      </c>
    </row>
    <row r="1230" spans="1:6" x14ac:dyDescent="0.25">
      <c r="A1230">
        <v>2018</v>
      </c>
      <c r="B1230" t="s">
        <v>56</v>
      </c>
      <c r="C1230" t="s">
        <v>29</v>
      </c>
      <c r="D1230" s="1">
        <v>5293</v>
      </c>
      <c r="E1230" s="1">
        <v>32955</v>
      </c>
      <c r="F1230" s="2">
        <v>56048</v>
      </c>
    </row>
    <row r="1231" spans="1:6" x14ac:dyDescent="0.25">
      <c r="A1231">
        <v>2018</v>
      </c>
      <c r="B1231" t="s">
        <v>56</v>
      </c>
      <c r="C1231" t="s">
        <v>30</v>
      </c>
      <c r="D1231" s="1">
        <v>64317</v>
      </c>
      <c r="E1231" s="1">
        <v>714540</v>
      </c>
      <c r="F1231" s="2">
        <v>186871</v>
      </c>
    </row>
    <row r="1232" spans="1:6" x14ac:dyDescent="0.25">
      <c r="A1232">
        <v>2018</v>
      </c>
      <c r="B1232" t="s">
        <v>56</v>
      </c>
      <c r="C1232" t="s">
        <v>31</v>
      </c>
      <c r="D1232" s="1">
        <v>27776</v>
      </c>
      <c r="E1232" s="1">
        <v>233277</v>
      </c>
      <c r="F1232" s="2">
        <v>87311</v>
      </c>
    </row>
    <row r="1233" spans="1:6" x14ac:dyDescent="0.25">
      <c r="A1233">
        <v>2018</v>
      </c>
      <c r="B1233" t="s">
        <v>56</v>
      </c>
      <c r="C1233" t="s">
        <v>32</v>
      </c>
      <c r="D1233" s="1">
        <v>2995</v>
      </c>
      <c r="E1233" s="1">
        <v>23145</v>
      </c>
      <c r="F1233" s="2">
        <v>63251</v>
      </c>
    </row>
    <row r="1234" spans="1:6" x14ac:dyDescent="0.25">
      <c r="A1234">
        <v>2018</v>
      </c>
      <c r="B1234" t="s">
        <v>56</v>
      </c>
      <c r="C1234" t="s">
        <v>33</v>
      </c>
      <c r="D1234" s="1">
        <v>28783</v>
      </c>
      <c r="E1234" s="1">
        <v>293549</v>
      </c>
      <c r="F1234" s="2">
        <v>72736</v>
      </c>
    </row>
    <row r="1235" spans="1:6" x14ac:dyDescent="0.25">
      <c r="A1235">
        <v>2018</v>
      </c>
      <c r="B1235" t="s">
        <v>56</v>
      </c>
      <c r="C1235" t="s">
        <v>34</v>
      </c>
      <c r="D1235" s="1">
        <v>11458</v>
      </c>
      <c r="E1235" s="1">
        <v>77052</v>
      </c>
      <c r="F1235" s="2">
        <v>58044</v>
      </c>
    </row>
    <row r="1236" spans="1:6" x14ac:dyDescent="0.25">
      <c r="A1236">
        <v>2018</v>
      </c>
      <c r="B1236" t="s">
        <v>56</v>
      </c>
      <c r="C1236" t="s">
        <v>35</v>
      </c>
      <c r="D1236" s="1">
        <v>13030</v>
      </c>
      <c r="E1236" s="1">
        <v>84865</v>
      </c>
      <c r="F1236" s="2">
        <v>69649</v>
      </c>
    </row>
    <row r="1237" spans="1:6" x14ac:dyDescent="0.25">
      <c r="A1237">
        <v>2018</v>
      </c>
      <c r="B1237" t="s">
        <v>56</v>
      </c>
      <c r="C1237" t="s">
        <v>36</v>
      </c>
      <c r="D1237" s="1">
        <v>28823</v>
      </c>
      <c r="E1237" s="1">
        <v>325130</v>
      </c>
      <c r="F1237" s="2">
        <v>88831</v>
      </c>
    </row>
    <row r="1238" spans="1:6" x14ac:dyDescent="0.25">
      <c r="A1238">
        <v>2018</v>
      </c>
      <c r="B1238" t="s">
        <v>56</v>
      </c>
      <c r="C1238" t="s">
        <v>37</v>
      </c>
      <c r="D1238" s="1">
        <v>2869</v>
      </c>
      <c r="E1238" s="1">
        <v>32305</v>
      </c>
      <c r="F1238" s="2">
        <v>88061</v>
      </c>
    </row>
    <row r="1239" spans="1:6" x14ac:dyDescent="0.25">
      <c r="A1239">
        <v>2018</v>
      </c>
      <c r="B1239" t="s">
        <v>56</v>
      </c>
      <c r="C1239" t="s">
        <v>38</v>
      </c>
      <c r="D1239" s="1">
        <v>13166</v>
      </c>
      <c r="E1239" s="1">
        <v>100794</v>
      </c>
      <c r="F1239" s="2">
        <v>61713</v>
      </c>
    </row>
    <row r="1240" spans="1:6" x14ac:dyDescent="0.25">
      <c r="A1240">
        <v>2018</v>
      </c>
      <c r="B1240" t="s">
        <v>56</v>
      </c>
      <c r="C1240" t="s">
        <v>39</v>
      </c>
      <c r="D1240" s="1">
        <v>3259</v>
      </c>
      <c r="E1240" s="1">
        <v>28739</v>
      </c>
      <c r="F1240" s="2">
        <v>60160</v>
      </c>
    </row>
    <row r="1241" spans="1:6" x14ac:dyDescent="0.25">
      <c r="A1241">
        <v>2018</v>
      </c>
      <c r="B1241" t="s">
        <v>56</v>
      </c>
      <c r="C1241" t="s">
        <v>40</v>
      </c>
      <c r="D1241" s="1">
        <v>15698</v>
      </c>
      <c r="E1241" s="1">
        <v>150833</v>
      </c>
      <c r="F1241" s="2">
        <v>76718</v>
      </c>
    </row>
    <row r="1242" spans="1:6" x14ac:dyDescent="0.25">
      <c r="A1242">
        <v>2018</v>
      </c>
      <c r="B1242" t="s">
        <v>56</v>
      </c>
      <c r="C1242" t="s">
        <v>41</v>
      </c>
      <c r="D1242" s="1">
        <v>73679</v>
      </c>
      <c r="E1242" s="1">
        <v>756318</v>
      </c>
      <c r="F1242" s="2">
        <v>83356</v>
      </c>
    </row>
    <row r="1243" spans="1:6" x14ac:dyDescent="0.25">
      <c r="A1243">
        <v>2018</v>
      </c>
      <c r="B1243" t="s">
        <v>56</v>
      </c>
      <c r="C1243" t="s">
        <v>42</v>
      </c>
      <c r="D1243" s="1">
        <v>11520</v>
      </c>
      <c r="E1243" s="1">
        <v>87530</v>
      </c>
      <c r="F1243" s="2">
        <v>67933</v>
      </c>
    </row>
    <row r="1244" spans="1:6" x14ac:dyDescent="0.25">
      <c r="A1244">
        <v>2018</v>
      </c>
      <c r="B1244" t="s">
        <v>56</v>
      </c>
      <c r="C1244" t="s">
        <v>43</v>
      </c>
      <c r="D1244" s="1">
        <v>1694</v>
      </c>
      <c r="E1244" s="1">
        <v>11814</v>
      </c>
      <c r="F1244" s="2">
        <v>72078</v>
      </c>
    </row>
    <row r="1245" spans="1:6" x14ac:dyDescent="0.25">
      <c r="A1245">
        <v>2018</v>
      </c>
      <c r="B1245" t="s">
        <v>56</v>
      </c>
      <c r="C1245" t="s">
        <v>44</v>
      </c>
      <c r="D1245" s="1">
        <v>21938</v>
      </c>
      <c r="E1245" s="1">
        <v>194731</v>
      </c>
      <c r="F1245" s="2">
        <v>85723</v>
      </c>
    </row>
    <row r="1246" spans="1:6" x14ac:dyDescent="0.25">
      <c r="A1246">
        <v>2018</v>
      </c>
      <c r="B1246" t="s">
        <v>56</v>
      </c>
      <c r="C1246" t="s">
        <v>45</v>
      </c>
      <c r="D1246" s="1">
        <v>17577</v>
      </c>
      <c r="E1246" s="1">
        <v>147871</v>
      </c>
      <c r="F1246" s="2">
        <v>80466</v>
      </c>
    </row>
    <row r="1247" spans="1:6" x14ac:dyDescent="0.25">
      <c r="A1247">
        <v>2018</v>
      </c>
      <c r="B1247" t="s">
        <v>56</v>
      </c>
      <c r="C1247" t="s">
        <v>46</v>
      </c>
      <c r="D1247" s="1">
        <v>4029</v>
      </c>
      <c r="E1247" s="1">
        <v>24510</v>
      </c>
      <c r="F1247" s="2">
        <v>53206</v>
      </c>
    </row>
    <row r="1248" spans="1:6" x14ac:dyDescent="0.25">
      <c r="A1248">
        <v>2018</v>
      </c>
      <c r="B1248" t="s">
        <v>56</v>
      </c>
      <c r="C1248" t="s">
        <v>47</v>
      </c>
      <c r="D1248" s="1">
        <v>13917</v>
      </c>
      <c r="E1248" s="1">
        <v>148837</v>
      </c>
      <c r="F1248" s="2">
        <v>71561</v>
      </c>
    </row>
    <row r="1249" spans="1:6" x14ac:dyDescent="0.25">
      <c r="A1249">
        <v>2018</v>
      </c>
      <c r="B1249" t="s">
        <v>56</v>
      </c>
      <c r="C1249" t="s">
        <v>48</v>
      </c>
      <c r="D1249" s="1">
        <v>2283</v>
      </c>
      <c r="E1249" s="1">
        <v>11124</v>
      </c>
      <c r="F1249" s="2">
        <v>57486</v>
      </c>
    </row>
    <row r="1250" spans="1:6" x14ac:dyDescent="0.25">
      <c r="A1250">
        <v>2018</v>
      </c>
      <c r="B1250" t="s">
        <v>57</v>
      </c>
      <c r="C1250" t="s">
        <v>1</v>
      </c>
      <c r="D1250" s="1">
        <v>21888</v>
      </c>
      <c r="E1250" s="1">
        <v>245234</v>
      </c>
      <c r="F1250" s="2">
        <v>55653</v>
      </c>
    </row>
    <row r="1251" spans="1:6" x14ac:dyDescent="0.25">
      <c r="A1251">
        <v>2018</v>
      </c>
      <c r="B1251" t="s">
        <v>57</v>
      </c>
      <c r="C1251" t="s">
        <v>2</v>
      </c>
      <c r="D1251" s="1">
        <v>35993</v>
      </c>
      <c r="E1251" s="1">
        <v>430516</v>
      </c>
      <c r="F1251" s="2">
        <v>56745</v>
      </c>
    </row>
    <row r="1252" spans="1:6" x14ac:dyDescent="0.25">
      <c r="A1252">
        <v>2018</v>
      </c>
      <c r="B1252" t="s">
        <v>57</v>
      </c>
      <c r="C1252" t="s">
        <v>3</v>
      </c>
      <c r="D1252" s="1">
        <v>14308</v>
      </c>
      <c r="E1252" s="1">
        <v>146700</v>
      </c>
      <c r="F1252" s="2">
        <v>60316</v>
      </c>
    </row>
    <row r="1253" spans="1:6" x14ac:dyDescent="0.25">
      <c r="A1253">
        <v>2018</v>
      </c>
      <c r="B1253" t="s">
        <v>57</v>
      </c>
      <c r="C1253" t="s">
        <v>4</v>
      </c>
      <c r="D1253" s="1">
        <v>208425</v>
      </c>
      <c r="E1253" s="1">
        <v>2667839</v>
      </c>
      <c r="F1253" s="2">
        <v>91070</v>
      </c>
    </row>
    <row r="1254" spans="1:6" x14ac:dyDescent="0.25">
      <c r="A1254">
        <v>2018</v>
      </c>
      <c r="B1254" t="s">
        <v>57</v>
      </c>
      <c r="C1254" t="s">
        <v>5</v>
      </c>
      <c r="D1254" s="1">
        <v>52525</v>
      </c>
      <c r="E1254" s="1">
        <v>423946</v>
      </c>
      <c r="F1254" s="2">
        <v>81401</v>
      </c>
    </row>
    <row r="1255" spans="1:6" x14ac:dyDescent="0.25">
      <c r="A1255">
        <v>2018</v>
      </c>
      <c r="B1255" t="s">
        <v>57</v>
      </c>
      <c r="C1255" t="s">
        <v>6</v>
      </c>
      <c r="D1255" s="1">
        <v>23279</v>
      </c>
      <c r="E1255" s="1">
        <v>221029</v>
      </c>
      <c r="F1255" s="2">
        <v>87958</v>
      </c>
    </row>
    <row r="1256" spans="1:6" x14ac:dyDescent="0.25">
      <c r="A1256">
        <v>2018</v>
      </c>
      <c r="B1256" t="s">
        <v>57</v>
      </c>
      <c r="C1256" t="s">
        <v>7</v>
      </c>
      <c r="D1256" s="1">
        <v>8956</v>
      </c>
      <c r="E1256" s="1">
        <v>63405</v>
      </c>
      <c r="F1256" s="2">
        <v>80066</v>
      </c>
    </row>
    <row r="1257" spans="1:6" x14ac:dyDescent="0.25">
      <c r="A1257">
        <v>2018</v>
      </c>
      <c r="B1257" t="s">
        <v>57</v>
      </c>
      <c r="C1257" t="s">
        <v>8</v>
      </c>
      <c r="D1257" s="1">
        <v>161890</v>
      </c>
      <c r="E1257" s="1">
        <v>1365136</v>
      </c>
      <c r="F1257" s="2">
        <v>60914</v>
      </c>
    </row>
    <row r="1258" spans="1:6" x14ac:dyDescent="0.25">
      <c r="A1258">
        <v>2018</v>
      </c>
      <c r="B1258" t="s">
        <v>57</v>
      </c>
      <c r="C1258" t="s">
        <v>9</v>
      </c>
      <c r="D1258" s="1">
        <v>54714</v>
      </c>
      <c r="E1258" s="1">
        <v>687321</v>
      </c>
      <c r="F1258" s="2">
        <v>66989</v>
      </c>
    </row>
    <row r="1259" spans="1:6" x14ac:dyDescent="0.25">
      <c r="A1259">
        <v>2018</v>
      </c>
      <c r="B1259" t="s">
        <v>57</v>
      </c>
      <c r="C1259" t="s">
        <v>10</v>
      </c>
      <c r="D1259" s="1">
        <v>11562</v>
      </c>
      <c r="E1259" s="1">
        <v>91631</v>
      </c>
      <c r="F1259" s="2">
        <v>51695</v>
      </c>
    </row>
    <row r="1260" spans="1:6" x14ac:dyDescent="0.25">
      <c r="A1260">
        <v>2018</v>
      </c>
      <c r="B1260" t="s">
        <v>57</v>
      </c>
      <c r="C1260" t="s">
        <v>11</v>
      </c>
      <c r="D1260" s="1">
        <v>74587</v>
      </c>
      <c r="E1260" s="1">
        <v>948766</v>
      </c>
      <c r="F1260" s="2">
        <v>76586</v>
      </c>
    </row>
    <row r="1261" spans="1:6" x14ac:dyDescent="0.25">
      <c r="A1261">
        <v>2018</v>
      </c>
      <c r="B1261" t="s">
        <v>57</v>
      </c>
      <c r="C1261" t="s">
        <v>12</v>
      </c>
      <c r="D1261" s="1">
        <v>29755</v>
      </c>
      <c r="E1261" s="1">
        <v>342835</v>
      </c>
      <c r="F1261" s="2">
        <v>52468</v>
      </c>
    </row>
    <row r="1262" spans="1:6" x14ac:dyDescent="0.25">
      <c r="A1262">
        <v>2018</v>
      </c>
      <c r="B1262" t="s">
        <v>57</v>
      </c>
      <c r="C1262" t="s">
        <v>13</v>
      </c>
      <c r="D1262" s="1">
        <v>15839</v>
      </c>
      <c r="E1262" s="1">
        <v>140535</v>
      </c>
      <c r="F1262" s="2">
        <v>54071</v>
      </c>
    </row>
    <row r="1263" spans="1:6" x14ac:dyDescent="0.25">
      <c r="A1263">
        <v>2018</v>
      </c>
      <c r="B1263" t="s">
        <v>57</v>
      </c>
      <c r="C1263" t="s">
        <v>14</v>
      </c>
      <c r="D1263" s="1">
        <v>16731</v>
      </c>
      <c r="E1263" s="1">
        <v>179413</v>
      </c>
      <c r="F1263" s="2">
        <v>61288</v>
      </c>
    </row>
    <row r="1264" spans="1:6" x14ac:dyDescent="0.25">
      <c r="A1264">
        <v>2018</v>
      </c>
      <c r="B1264" t="s">
        <v>57</v>
      </c>
      <c r="C1264" t="s">
        <v>15</v>
      </c>
      <c r="D1264" s="1">
        <v>20542</v>
      </c>
      <c r="E1264" s="1">
        <v>217081</v>
      </c>
      <c r="F1264" s="2">
        <v>50087</v>
      </c>
    </row>
    <row r="1265" spans="1:6" x14ac:dyDescent="0.25">
      <c r="A1265">
        <v>2018</v>
      </c>
      <c r="B1265" t="s">
        <v>57</v>
      </c>
      <c r="C1265" t="s">
        <v>16</v>
      </c>
      <c r="D1265" s="1">
        <v>24537</v>
      </c>
      <c r="E1265" s="1">
        <v>213171</v>
      </c>
      <c r="F1265" s="2">
        <v>56446</v>
      </c>
    </row>
    <row r="1266" spans="1:6" x14ac:dyDescent="0.25">
      <c r="A1266">
        <v>2018</v>
      </c>
      <c r="B1266" t="s">
        <v>57</v>
      </c>
      <c r="C1266" t="s">
        <v>17</v>
      </c>
      <c r="D1266" s="1">
        <v>9940</v>
      </c>
      <c r="E1266" s="1">
        <v>69285</v>
      </c>
      <c r="F1266" s="2">
        <v>57328</v>
      </c>
    </row>
    <row r="1267" spans="1:6" x14ac:dyDescent="0.25">
      <c r="A1267">
        <v>2018</v>
      </c>
      <c r="B1267" t="s">
        <v>57</v>
      </c>
      <c r="C1267" t="s">
        <v>18</v>
      </c>
      <c r="D1267" s="1">
        <v>42809</v>
      </c>
      <c r="E1267" s="1">
        <v>452753</v>
      </c>
      <c r="F1267" s="2">
        <v>79500</v>
      </c>
    </row>
    <row r="1268" spans="1:6" x14ac:dyDescent="0.25">
      <c r="A1268">
        <v>2018</v>
      </c>
      <c r="B1268" t="s">
        <v>57</v>
      </c>
      <c r="C1268" t="s">
        <v>19</v>
      </c>
      <c r="D1268" s="1">
        <v>47416</v>
      </c>
      <c r="E1268" s="1">
        <v>587518</v>
      </c>
      <c r="F1268" s="2">
        <v>107875</v>
      </c>
    </row>
    <row r="1269" spans="1:6" x14ac:dyDescent="0.25">
      <c r="A1269">
        <v>2018</v>
      </c>
      <c r="B1269" t="s">
        <v>57</v>
      </c>
      <c r="C1269" t="s">
        <v>20</v>
      </c>
      <c r="D1269" s="1">
        <v>42545</v>
      </c>
      <c r="E1269" s="1">
        <v>657930</v>
      </c>
      <c r="F1269" s="2">
        <v>69377</v>
      </c>
    </row>
    <row r="1270" spans="1:6" x14ac:dyDescent="0.25">
      <c r="A1270">
        <v>2018</v>
      </c>
      <c r="B1270" t="s">
        <v>57</v>
      </c>
      <c r="C1270" t="s">
        <v>21</v>
      </c>
      <c r="D1270" s="1">
        <v>32020</v>
      </c>
      <c r="E1270" s="1">
        <v>378493</v>
      </c>
      <c r="F1270" s="2">
        <v>82535</v>
      </c>
    </row>
    <row r="1271" spans="1:6" x14ac:dyDescent="0.25">
      <c r="A1271">
        <v>2018</v>
      </c>
      <c r="B1271" t="s">
        <v>57</v>
      </c>
      <c r="C1271" t="s">
        <v>22</v>
      </c>
      <c r="D1271" s="1">
        <v>12259</v>
      </c>
      <c r="E1271" s="1">
        <v>109842</v>
      </c>
      <c r="F1271" s="2">
        <v>42132</v>
      </c>
    </row>
    <row r="1272" spans="1:6" x14ac:dyDescent="0.25">
      <c r="A1272">
        <v>2018</v>
      </c>
      <c r="B1272" t="s">
        <v>57</v>
      </c>
      <c r="C1272" t="s">
        <v>23</v>
      </c>
      <c r="D1272" s="1">
        <v>32577</v>
      </c>
      <c r="E1272" s="1">
        <v>385727</v>
      </c>
      <c r="F1272" s="2">
        <v>66429</v>
      </c>
    </row>
    <row r="1273" spans="1:6" x14ac:dyDescent="0.25">
      <c r="A1273">
        <v>2018</v>
      </c>
      <c r="B1273" t="s">
        <v>57</v>
      </c>
      <c r="C1273" t="s">
        <v>24</v>
      </c>
      <c r="D1273" s="1">
        <v>9359</v>
      </c>
      <c r="E1273" s="1">
        <v>42410</v>
      </c>
      <c r="F1273" s="2">
        <v>52271</v>
      </c>
    </row>
    <row r="1274" spans="1:6" x14ac:dyDescent="0.25">
      <c r="A1274">
        <v>2018</v>
      </c>
      <c r="B1274" t="s">
        <v>57</v>
      </c>
      <c r="C1274" t="s">
        <v>25</v>
      </c>
      <c r="D1274" s="1">
        <v>11582</v>
      </c>
      <c r="E1274" s="1">
        <v>119167</v>
      </c>
      <c r="F1274" s="2">
        <v>58836</v>
      </c>
    </row>
    <row r="1275" spans="1:6" x14ac:dyDescent="0.25">
      <c r="A1275">
        <v>2018</v>
      </c>
      <c r="B1275" t="s">
        <v>57</v>
      </c>
      <c r="C1275" t="s">
        <v>26</v>
      </c>
      <c r="D1275" s="1">
        <v>19970</v>
      </c>
      <c r="E1275" s="1">
        <v>190736</v>
      </c>
      <c r="F1275" s="2">
        <v>61821</v>
      </c>
    </row>
    <row r="1276" spans="1:6" x14ac:dyDescent="0.25">
      <c r="A1276">
        <v>2018</v>
      </c>
      <c r="B1276" t="s">
        <v>57</v>
      </c>
      <c r="C1276" t="s">
        <v>27</v>
      </c>
      <c r="D1276" s="1">
        <v>12323</v>
      </c>
      <c r="E1276" s="1">
        <v>82831</v>
      </c>
      <c r="F1276" s="2">
        <v>77486</v>
      </c>
    </row>
    <row r="1277" spans="1:6" x14ac:dyDescent="0.25">
      <c r="A1277">
        <v>2018</v>
      </c>
      <c r="B1277" t="s">
        <v>57</v>
      </c>
      <c r="C1277" t="s">
        <v>28</v>
      </c>
      <c r="D1277" s="1">
        <v>51837</v>
      </c>
      <c r="E1277" s="1">
        <v>671419</v>
      </c>
      <c r="F1277" s="2">
        <v>90784</v>
      </c>
    </row>
    <row r="1278" spans="1:6" x14ac:dyDescent="0.25">
      <c r="A1278">
        <v>2018</v>
      </c>
      <c r="B1278" t="s">
        <v>57</v>
      </c>
      <c r="C1278" t="s">
        <v>29</v>
      </c>
      <c r="D1278" s="1">
        <v>10669</v>
      </c>
      <c r="E1278" s="1">
        <v>106930</v>
      </c>
      <c r="F1278" s="2">
        <v>61899</v>
      </c>
    </row>
    <row r="1279" spans="1:6" x14ac:dyDescent="0.25">
      <c r="A1279">
        <v>2018</v>
      </c>
      <c r="B1279" t="s">
        <v>57</v>
      </c>
      <c r="C1279" t="s">
        <v>30</v>
      </c>
      <c r="D1279" s="1">
        <v>112471</v>
      </c>
      <c r="E1279" s="1">
        <v>1339421</v>
      </c>
      <c r="F1279" s="2">
        <v>95057</v>
      </c>
    </row>
    <row r="1280" spans="1:6" x14ac:dyDescent="0.25">
      <c r="A1280">
        <v>2018</v>
      </c>
      <c r="B1280" t="s">
        <v>57</v>
      </c>
      <c r="C1280" t="s">
        <v>31</v>
      </c>
      <c r="D1280" s="1">
        <v>58892</v>
      </c>
      <c r="E1280" s="1">
        <v>635554</v>
      </c>
      <c r="F1280" s="2">
        <v>65609</v>
      </c>
    </row>
    <row r="1281" spans="1:6" x14ac:dyDescent="0.25">
      <c r="A1281">
        <v>2018</v>
      </c>
      <c r="B1281" t="s">
        <v>57</v>
      </c>
      <c r="C1281" t="s">
        <v>32</v>
      </c>
      <c r="D1281" s="1">
        <v>5130</v>
      </c>
      <c r="E1281" s="1">
        <v>34560</v>
      </c>
      <c r="F1281" s="2">
        <v>61774</v>
      </c>
    </row>
    <row r="1282" spans="1:6" x14ac:dyDescent="0.25">
      <c r="A1282">
        <v>2018</v>
      </c>
      <c r="B1282" t="s">
        <v>57</v>
      </c>
      <c r="C1282" t="s">
        <v>33</v>
      </c>
      <c r="D1282" s="1">
        <v>53280</v>
      </c>
      <c r="E1282" s="1">
        <v>729430</v>
      </c>
      <c r="F1282" s="2">
        <v>64006</v>
      </c>
    </row>
    <row r="1283" spans="1:6" x14ac:dyDescent="0.25">
      <c r="A1283">
        <v>2018</v>
      </c>
      <c r="B1283" t="s">
        <v>57</v>
      </c>
      <c r="C1283" t="s">
        <v>34</v>
      </c>
      <c r="D1283" s="1">
        <v>20594</v>
      </c>
      <c r="E1283" s="1">
        <v>191261</v>
      </c>
      <c r="F1283" s="2">
        <v>52227</v>
      </c>
    </row>
    <row r="1284" spans="1:6" x14ac:dyDescent="0.25">
      <c r="A1284">
        <v>2018</v>
      </c>
      <c r="B1284" t="s">
        <v>57</v>
      </c>
      <c r="C1284" t="s">
        <v>35</v>
      </c>
      <c r="D1284" s="1">
        <v>25462</v>
      </c>
      <c r="E1284" s="1">
        <v>248627</v>
      </c>
      <c r="F1284" s="2">
        <v>69806</v>
      </c>
    </row>
    <row r="1285" spans="1:6" x14ac:dyDescent="0.25">
      <c r="A1285">
        <v>2018</v>
      </c>
      <c r="B1285" t="s">
        <v>57</v>
      </c>
      <c r="C1285" t="s">
        <v>36</v>
      </c>
      <c r="D1285" s="1">
        <v>63415</v>
      </c>
      <c r="E1285" s="1">
        <v>806555</v>
      </c>
      <c r="F1285" s="2">
        <v>78092</v>
      </c>
    </row>
    <row r="1286" spans="1:6" x14ac:dyDescent="0.25">
      <c r="A1286">
        <v>2018</v>
      </c>
      <c r="B1286" t="s">
        <v>57</v>
      </c>
      <c r="C1286" t="s">
        <v>37</v>
      </c>
      <c r="D1286" s="1">
        <v>8651</v>
      </c>
      <c r="E1286" s="1">
        <v>68430</v>
      </c>
      <c r="F1286" s="2">
        <v>68957</v>
      </c>
    </row>
    <row r="1287" spans="1:6" x14ac:dyDescent="0.25">
      <c r="A1287">
        <v>2018</v>
      </c>
      <c r="B1287" t="s">
        <v>57</v>
      </c>
      <c r="C1287" t="s">
        <v>38</v>
      </c>
      <c r="D1287" s="1">
        <v>26993</v>
      </c>
      <c r="E1287" s="1">
        <v>293499</v>
      </c>
      <c r="F1287" s="2">
        <v>50391</v>
      </c>
    </row>
    <row r="1288" spans="1:6" x14ac:dyDescent="0.25">
      <c r="A1288">
        <v>2018</v>
      </c>
      <c r="B1288" t="s">
        <v>57</v>
      </c>
      <c r="C1288" t="s">
        <v>39</v>
      </c>
      <c r="D1288" s="1">
        <v>5205</v>
      </c>
      <c r="E1288" s="1">
        <v>32354</v>
      </c>
      <c r="F1288" s="2">
        <v>56384</v>
      </c>
    </row>
    <row r="1289" spans="1:6" x14ac:dyDescent="0.25">
      <c r="A1289">
        <v>2018</v>
      </c>
      <c r="B1289" t="s">
        <v>57</v>
      </c>
      <c r="C1289" t="s">
        <v>40</v>
      </c>
      <c r="D1289" s="1">
        <v>29519</v>
      </c>
      <c r="E1289" s="1">
        <v>417345</v>
      </c>
      <c r="F1289" s="2">
        <v>59851</v>
      </c>
    </row>
    <row r="1290" spans="1:6" x14ac:dyDescent="0.25">
      <c r="A1290">
        <v>2018</v>
      </c>
      <c r="B1290" t="s">
        <v>57</v>
      </c>
      <c r="C1290" t="s">
        <v>41</v>
      </c>
      <c r="D1290" s="1">
        <v>134025</v>
      </c>
      <c r="E1290" s="1">
        <v>1736415</v>
      </c>
      <c r="F1290" s="2">
        <v>74443</v>
      </c>
    </row>
    <row r="1291" spans="1:6" x14ac:dyDescent="0.25">
      <c r="A1291">
        <v>2018</v>
      </c>
      <c r="B1291" t="s">
        <v>57</v>
      </c>
      <c r="C1291" t="s">
        <v>42</v>
      </c>
      <c r="D1291" s="1">
        <v>23036</v>
      </c>
      <c r="E1291" s="1">
        <v>215564</v>
      </c>
      <c r="F1291" s="2">
        <v>59543</v>
      </c>
    </row>
    <row r="1292" spans="1:6" x14ac:dyDescent="0.25">
      <c r="A1292">
        <v>2018</v>
      </c>
      <c r="B1292" t="s">
        <v>57</v>
      </c>
      <c r="C1292" t="s">
        <v>43</v>
      </c>
      <c r="D1292" s="1">
        <v>5661</v>
      </c>
      <c r="E1292" s="1">
        <v>28976</v>
      </c>
      <c r="F1292" s="2">
        <v>64917</v>
      </c>
    </row>
    <row r="1293" spans="1:6" x14ac:dyDescent="0.25">
      <c r="A1293">
        <v>2018</v>
      </c>
      <c r="B1293" t="s">
        <v>57</v>
      </c>
      <c r="C1293" t="s">
        <v>44</v>
      </c>
      <c r="D1293" s="1">
        <v>58849</v>
      </c>
      <c r="E1293" s="1">
        <v>746452</v>
      </c>
      <c r="F1293" s="2">
        <v>87511</v>
      </c>
    </row>
    <row r="1294" spans="1:6" x14ac:dyDescent="0.25">
      <c r="A1294">
        <v>2018</v>
      </c>
      <c r="B1294" t="s">
        <v>57</v>
      </c>
      <c r="C1294" t="s">
        <v>45</v>
      </c>
      <c r="D1294" s="1">
        <v>40209</v>
      </c>
      <c r="E1294" s="1">
        <v>414712</v>
      </c>
      <c r="F1294" s="2">
        <v>82245</v>
      </c>
    </row>
    <row r="1295" spans="1:6" x14ac:dyDescent="0.25">
      <c r="A1295">
        <v>2018</v>
      </c>
      <c r="B1295" t="s">
        <v>57</v>
      </c>
      <c r="C1295" t="s">
        <v>46</v>
      </c>
      <c r="D1295" s="1">
        <v>8323</v>
      </c>
      <c r="E1295" s="1">
        <v>68965</v>
      </c>
      <c r="F1295" s="2">
        <v>51745</v>
      </c>
    </row>
    <row r="1296" spans="1:6" x14ac:dyDescent="0.25">
      <c r="A1296">
        <v>2018</v>
      </c>
      <c r="B1296" t="s">
        <v>57</v>
      </c>
      <c r="C1296" t="s">
        <v>47</v>
      </c>
      <c r="D1296" s="1">
        <v>25856</v>
      </c>
      <c r="E1296" s="1">
        <v>327719</v>
      </c>
      <c r="F1296" s="2">
        <v>60773</v>
      </c>
    </row>
    <row r="1297" spans="1:6" x14ac:dyDescent="0.25">
      <c r="A1297">
        <v>2018</v>
      </c>
      <c r="B1297" t="s">
        <v>57</v>
      </c>
      <c r="C1297" t="s">
        <v>48</v>
      </c>
      <c r="D1297" s="1">
        <v>4559</v>
      </c>
      <c r="E1297" s="1">
        <v>18733</v>
      </c>
      <c r="F1297" s="2">
        <v>52783</v>
      </c>
    </row>
    <row r="1298" spans="1:6" x14ac:dyDescent="0.25">
      <c r="A1298">
        <v>2018</v>
      </c>
      <c r="B1298" t="s">
        <v>58</v>
      </c>
      <c r="C1298" t="s">
        <v>1</v>
      </c>
      <c r="D1298" s="1">
        <v>12678</v>
      </c>
      <c r="E1298" s="1">
        <v>233306</v>
      </c>
      <c r="F1298" s="2">
        <v>46432</v>
      </c>
    </row>
    <row r="1299" spans="1:6" x14ac:dyDescent="0.25">
      <c r="A1299">
        <v>2018</v>
      </c>
      <c r="B1299" t="s">
        <v>58</v>
      </c>
      <c r="C1299" t="s">
        <v>2</v>
      </c>
      <c r="D1299" s="1">
        <v>18037</v>
      </c>
      <c r="E1299" s="1">
        <v>440616</v>
      </c>
      <c r="F1299" s="2">
        <v>51125</v>
      </c>
    </row>
    <row r="1300" spans="1:6" x14ac:dyDescent="0.25">
      <c r="A1300">
        <v>2018</v>
      </c>
      <c r="B1300" t="s">
        <v>58</v>
      </c>
      <c r="C1300" t="s">
        <v>3</v>
      </c>
      <c r="D1300" s="1">
        <v>15788</v>
      </c>
      <c r="E1300" s="1">
        <v>186119</v>
      </c>
      <c r="F1300" s="2">
        <v>42468</v>
      </c>
    </row>
    <row r="1301" spans="1:6" x14ac:dyDescent="0.25">
      <c r="A1301">
        <v>2018</v>
      </c>
      <c r="B1301" t="s">
        <v>58</v>
      </c>
      <c r="C1301" t="s">
        <v>4</v>
      </c>
      <c r="D1301" s="1">
        <v>618901</v>
      </c>
      <c r="E1301" s="1">
        <v>2649228</v>
      </c>
      <c r="F1301" s="2">
        <v>52187</v>
      </c>
    </row>
    <row r="1302" spans="1:6" x14ac:dyDescent="0.25">
      <c r="A1302">
        <v>2018</v>
      </c>
      <c r="B1302" t="s">
        <v>58</v>
      </c>
      <c r="C1302" t="s">
        <v>5</v>
      </c>
      <c r="D1302" s="1">
        <v>21666</v>
      </c>
      <c r="E1302" s="1">
        <v>335274</v>
      </c>
      <c r="F1302" s="2">
        <v>50156</v>
      </c>
    </row>
    <row r="1303" spans="1:6" x14ac:dyDescent="0.25">
      <c r="A1303">
        <v>2018</v>
      </c>
      <c r="B1303" t="s">
        <v>58</v>
      </c>
      <c r="C1303" t="s">
        <v>6</v>
      </c>
      <c r="D1303" s="1">
        <v>13090</v>
      </c>
      <c r="E1303" s="1">
        <v>326866</v>
      </c>
      <c r="F1303" s="2">
        <v>55369</v>
      </c>
    </row>
    <row r="1304" spans="1:6" x14ac:dyDescent="0.25">
      <c r="A1304">
        <v>2018</v>
      </c>
      <c r="B1304" t="s">
        <v>58</v>
      </c>
      <c r="C1304" t="s">
        <v>7</v>
      </c>
      <c r="D1304" s="1">
        <v>5063</v>
      </c>
      <c r="E1304" s="1">
        <v>75524</v>
      </c>
      <c r="F1304" s="2">
        <v>53795</v>
      </c>
    </row>
    <row r="1305" spans="1:6" x14ac:dyDescent="0.25">
      <c r="A1305">
        <v>2018</v>
      </c>
      <c r="B1305" t="s">
        <v>58</v>
      </c>
      <c r="C1305" t="s">
        <v>8</v>
      </c>
      <c r="D1305" s="1">
        <v>73761</v>
      </c>
      <c r="E1305" s="1">
        <v>1287814</v>
      </c>
      <c r="F1305" s="2">
        <v>50781</v>
      </c>
    </row>
    <row r="1306" spans="1:6" x14ac:dyDescent="0.25">
      <c r="A1306">
        <v>2018</v>
      </c>
      <c r="B1306" t="s">
        <v>58</v>
      </c>
      <c r="C1306" t="s">
        <v>9</v>
      </c>
      <c r="D1306" s="1">
        <v>28952</v>
      </c>
      <c r="E1306" s="1">
        <v>562436</v>
      </c>
      <c r="F1306" s="2">
        <v>52062</v>
      </c>
    </row>
    <row r="1307" spans="1:6" x14ac:dyDescent="0.25">
      <c r="A1307">
        <v>2018</v>
      </c>
      <c r="B1307" t="s">
        <v>58</v>
      </c>
      <c r="C1307" t="s">
        <v>10</v>
      </c>
      <c r="D1307" s="1">
        <v>7824</v>
      </c>
      <c r="E1307" s="1">
        <v>100212</v>
      </c>
      <c r="F1307" s="2">
        <v>42047</v>
      </c>
    </row>
    <row r="1308" spans="1:6" x14ac:dyDescent="0.25">
      <c r="A1308">
        <v>2018</v>
      </c>
      <c r="B1308" t="s">
        <v>58</v>
      </c>
      <c r="C1308" t="s">
        <v>11</v>
      </c>
      <c r="D1308" s="1">
        <v>34720</v>
      </c>
      <c r="E1308" s="1">
        <v>919288</v>
      </c>
      <c r="F1308" s="2">
        <v>50959</v>
      </c>
    </row>
    <row r="1309" spans="1:6" x14ac:dyDescent="0.25">
      <c r="A1309">
        <v>2018</v>
      </c>
      <c r="B1309" t="s">
        <v>58</v>
      </c>
      <c r="C1309" t="s">
        <v>12</v>
      </c>
      <c r="D1309" s="1">
        <v>15692</v>
      </c>
      <c r="E1309" s="1">
        <v>459398</v>
      </c>
      <c r="F1309" s="2">
        <v>47681</v>
      </c>
    </row>
    <row r="1310" spans="1:6" x14ac:dyDescent="0.25">
      <c r="A1310">
        <v>2018</v>
      </c>
      <c r="B1310" t="s">
        <v>58</v>
      </c>
      <c r="C1310" t="s">
        <v>13</v>
      </c>
      <c r="D1310" s="1">
        <v>11589</v>
      </c>
      <c r="E1310" s="1">
        <v>219674</v>
      </c>
      <c r="F1310" s="2">
        <v>43022</v>
      </c>
    </row>
    <row r="1311" spans="1:6" x14ac:dyDescent="0.25">
      <c r="A1311">
        <v>2018</v>
      </c>
      <c r="B1311" t="s">
        <v>58</v>
      </c>
      <c r="C1311" t="s">
        <v>14</v>
      </c>
      <c r="D1311" s="1">
        <v>10277</v>
      </c>
      <c r="E1311" s="1">
        <v>195132</v>
      </c>
      <c r="F1311" s="2">
        <v>42586</v>
      </c>
    </row>
    <row r="1312" spans="1:6" x14ac:dyDescent="0.25">
      <c r="A1312">
        <v>2018</v>
      </c>
      <c r="B1312" t="s">
        <v>58</v>
      </c>
      <c r="C1312" t="s">
        <v>15</v>
      </c>
      <c r="D1312" s="1">
        <v>18161</v>
      </c>
      <c r="E1312" s="1">
        <v>267486</v>
      </c>
      <c r="F1312" s="2">
        <v>48210</v>
      </c>
    </row>
    <row r="1313" spans="1:6" x14ac:dyDescent="0.25">
      <c r="A1313">
        <v>2018</v>
      </c>
      <c r="B1313" t="s">
        <v>58</v>
      </c>
      <c r="C1313" t="s">
        <v>16</v>
      </c>
      <c r="D1313" s="1">
        <v>15480</v>
      </c>
      <c r="E1313" s="1">
        <v>300015</v>
      </c>
      <c r="F1313" s="2">
        <v>43339</v>
      </c>
    </row>
    <row r="1314" spans="1:6" x14ac:dyDescent="0.25">
      <c r="A1314">
        <v>2018</v>
      </c>
      <c r="B1314" t="s">
        <v>58</v>
      </c>
      <c r="C1314" t="s">
        <v>17</v>
      </c>
      <c r="D1314" s="1">
        <v>5483</v>
      </c>
      <c r="E1314" s="1">
        <v>118009</v>
      </c>
      <c r="F1314" s="2">
        <v>47535</v>
      </c>
    </row>
    <row r="1315" spans="1:6" x14ac:dyDescent="0.25">
      <c r="A1315">
        <v>2018</v>
      </c>
      <c r="B1315" t="s">
        <v>58</v>
      </c>
      <c r="C1315" t="s">
        <v>18</v>
      </c>
      <c r="D1315" s="1">
        <v>20856</v>
      </c>
      <c r="E1315" s="1">
        <v>445328</v>
      </c>
      <c r="F1315" s="2">
        <v>54310</v>
      </c>
    </row>
    <row r="1316" spans="1:6" x14ac:dyDescent="0.25">
      <c r="A1316">
        <v>2018</v>
      </c>
      <c r="B1316" t="s">
        <v>58</v>
      </c>
      <c r="C1316" t="s">
        <v>19</v>
      </c>
      <c r="D1316" s="1">
        <v>66364</v>
      </c>
      <c r="E1316" s="1">
        <v>773683</v>
      </c>
      <c r="F1316" s="2">
        <v>58448</v>
      </c>
    </row>
    <row r="1317" spans="1:6" x14ac:dyDescent="0.25">
      <c r="A1317">
        <v>2018</v>
      </c>
      <c r="B1317" t="s">
        <v>58</v>
      </c>
      <c r="C1317" t="s">
        <v>20</v>
      </c>
      <c r="D1317" s="1">
        <v>24822</v>
      </c>
      <c r="E1317" s="1">
        <v>659230</v>
      </c>
      <c r="F1317" s="2">
        <v>49739</v>
      </c>
    </row>
    <row r="1318" spans="1:6" x14ac:dyDescent="0.25">
      <c r="A1318">
        <v>2018</v>
      </c>
      <c r="B1318" t="s">
        <v>58</v>
      </c>
      <c r="C1318" t="s">
        <v>21</v>
      </c>
      <c r="D1318" s="1">
        <v>19210</v>
      </c>
      <c r="E1318" s="1">
        <v>526556</v>
      </c>
      <c r="F1318" s="2">
        <v>51469</v>
      </c>
    </row>
    <row r="1319" spans="1:6" x14ac:dyDescent="0.25">
      <c r="A1319">
        <v>2018</v>
      </c>
      <c r="B1319" t="s">
        <v>58</v>
      </c>
      <c r="C1319" t="s">
        <v>22</v>
      </c>
      <c r="D1319" s="1">
        <v>7531</v>
      </c>
      <c r="E1319" s="1">
        <v>144105</v>
      </c>
      <c r="F1319" s="2">
        <v>41620</v>
      </c>
    </row>
    <row r="1320" spans="1:6" x14ac:dyDescent="0.25">
      <c r="A1320">
        <v>2018</v>
      </c>
      <c r="B1320" t="s">
        <v>58</v>
      </c>
      <c r="C1320" t="s">
        <v>23</v>
      </c>
      <c r="D1320" s="1">
        <v>48555</v>
      </c>
      <c r="E1320" s="1">
        <v>454728</v>
      </c>
      <c r="F1320" s="2">
        <v>46127</v>
      </c>
    </row>
    <row r="1321" spans="1:6" x14ac:dyDescent="0.25">
      <c r="A1321">
        <v>2018</v>
      </c>
      <c r="B1321" t="s">
        <v>58</v>
      </c>
      <c r="C1321" t="s">
        <v>24</v>
      </c>
      <c r="D1321" s="1">
        <v>4637</v>
      </c>
      <c r="E1321" s="1">
        <v>73530</v>
      </c>
      <c r="F1321" s="2">
        <v>47539</v>
      </c>
    </row>
    <row r="1322" spans="1:6" x14ac:dyDescent="0.25">
      <c r="A1322">
        <v>2018</v>
      </c>
      <c r="B1322" t="s">
        <v>58</v>
      </c>
      <c r="C1322" t="s">
        <v>25</v>
      </c>
      <c r="D1322" s="1">
        <v>12205</v>
      </c>
      <c r="E1322" s="1">
        <v>138155</v>
      </c>
      <c r="F1322" s="2">
        <v>46678</v>
      </c>
    </row>
    <row r="1323" spans="1:6" x14ac:dyDescent="0.25">
      <c r="A1323">
        <v>2018</v>
      </c>
      <c r="B1323" t="s">
        <v>58</v>
      </c>
      <c r="C1323" t="s">
        <v>26</v>
      </c>
      <c r="D1323" s="1">
        <v>8913</v>
      </c>
      <c r="E1323" s="1">
        <v>139036</v>
      </c>
      <c r="F1323" s="2">
        <v>54167</v>
      </c>
    </row>
    <row r="1324" spans="1:6" x14ac:dyDescent="0.25">
      <c r="A1324">
        <v>2018</v>
      </c>
      <c r="B1324" t="s">
        <v>58</v>
      </c>
      <c r="C1324" t="s">
        <v>27</v>
      </c>
      <c r="D1324" s="1">
        <v>4700</v>
      </c>
      <c r="E1324" s="1">
        <v>112567</v>
      </c>
      <c r="F1324" s="2">
        <v>56317</v>
      </c>
    </row>
    <row r="1325" spans="1:6" x14ac:dyDescent="0.25">
      <c r="A1325">
        <v>2018</v>
      </c>
      <c r="B1325" t="s">
        <v>58</v>
      </c>
      <c r="C1325" t="s">
        <v>28</v>
      </c>
      <c r="D1325" s="1">
        <v>37328</v>
      </c>
      <c r="E1325" s="1">
        <v>656716</v>
      </c>
      <c r="F1325" s="2">
        <v>53402</v>
      </c>
    </row>
    <row r="1326" spans="1:6" x14ac:dyDescent="0.25">
      <c r="A1326">
        <v>2018</v>
      </c>
      <c r="B1326" t="s">
        <v>58</v>
      </c>
      <c r="C1326" t="s">
        <v>29</v>
      </c>
      <c r="D1326" s="1">
        <v>10221</v>
      </c>
      <c r="E1326" s="1">
        <v>128590</v>
      </c>
      <c r="F1326" s="2">
        <v>41645</v>
      </c>
    </row>
    <row r="1327" spans="1:6" x14ac:dyDescent="0.25">
      <c r="A1327">
        <v>2018</v>
      </c>
      <c r="B1327" t="s">
        <v>58</v>
      </c>
      <c r="C1327" t="s">
        <v>30</v>
      </c>
      <c r="D1327" s="1">
        <v>67399</v>
      </c>
      <c r="E1327" s="1">
        <v>1914153</v>
      </c>
      <c r="F1327" s="2">
        <v>53467</v>
      </c>
    </row>
    <row r="1328" spans="1:6" x14ac:dyDescent="0.25">
      <c r="A1328">
        <v>2018</v>
      </c>
      <c r="B1328" t="s">
        <v>58</v>
      </c>
      <c r="C1328" t="s">
        <v>31</v>
      </c>
      <c r="D1328" s="1">
        <v>27210</v>
      </c>
      <c r="E1328" s="1">
        <v>592067</v>
      </c>
      <c r="F1328" s="2">
        <v>48381</v>
      </c>
    </row>
    <row r="1329" spans="1:6" x14ac:dyDescent="0.25">
      <c r="A1329">
        <v>2018</v>
      </c>
      <c r="B1329" t="s">
        <v>58</v>
      </c>
      <c r="C1329" t="s">
        <v>32</v>
      </c>
      <c r="D1329" s="1">
        <v>2558</v>
      </c>
      <c r="E1329" s="1">
        <v>62184</v>
      </c>
      <c r="F1329" s="2">
        <v>51404</v>
      </c>
    </row>
    <row r="1330" spans="1:6" x14ac:dyDescent="0.25">
      <c r="A1330">
        <v>2018</v>
      </c>
      <c r="B1330" t="s">
        <v>58</v>
      </c>
      <c r="C1330" t="s">
        <v>33</v>
      </c>
      <c r="D1330" s="1">
        <v>34508</v>
      </c>
      <c r="E1330" s="1">
        <v>904140</v>
      </c>
      <c r="F1330" s="2">
        <v>46408</v>
      </c>
    </row>
    <row r="1331" spans="1:6" x14ac:dyDescent="0.25">
      <c r="A1331">
        <v>2018</v>
      </c>
      <c r="B1331" t="s">
        <v>58</v>
      </c>
      <c r="C1331" t="s">
        <v>34</v>
      </c>
      <c r="D1331" s="1">
        <v>13563</v>
      </c>
      <c r="E1331" s="1">
        <v>209863</v>
      </c>
      <c r="F1331" s="2">
        <v>45570</v>
      </c>
    </row>
    <row r="1332" spans="1:6" x14ac:dyDescent="0.25">
      <c r="A1332">
        <v>2018</v>
      </c>
      <c r="B1332" t="s">
        <v>58</v>
      </c>
      <c r="C1332" t="s">
        <v>35</v>
      </c>
      <c r="D1332" s="1">
        <v>15708</v>
      </c>
      <c r="E1332" s="1">
        <v>288939</v>
      </c>
      <c r="F1332" s="2">
        <v>50107</v>
      </c>
    </row>
    <row r="1333" spans="1:6" x14ac:dyDescent="0.25">
      <c r="A1333">
        <v>2018</v>
      </c>
      <c r="B1333" t="s">
        <v>58</v>
      </c>
      <c r="C1333" t="s">
        <v>36</v>
      </c>
      <c r="D1333" s="1">
        <v>57768</v>
      </c>
      <c r="E1333" s="1">
        <v>1209344</v>
      </c>
      <c r="F1333" s="2">
        <v>51808</v>
      </c>
    </row>
    <row r="1334" spans="1:6" x14ac:dyDescent="0.25">
      <c r="A1334">
        <v>2018</v>
      </c>
      <c r="B1334" t="s">
        <v>58</v>
      </c>
      <c r="C1334" t="s">
        <v>37</v>
      </c>
      <c r="D1334" s="1">
        <v>4545</v>
      </c>
      <c r="E1334" s="1">
        <v>100506</v>
      </c>
      <c r="F1334" s="2">
        <v>48716</v>
      </c>
    </row>
    <row r="1335" spans="1:6" x14ac:dyDescent="0.25">
      <c r="A1335">
        <v>2018</v>
      </c>
      <c r="B1335" t="s">
        <v>58</v>
      </c>
      <c r="C1335" t="s">
        <v>38</v>
      </c>
      <c r="D1335" s="1">
        <v>11971</v>
      </c>
      <c r="E1335" s="1">
        <v>234487</v>
      </c>
      <c r="F1335" s="2">
        <v>45993</v>
      </c>
    </row>
    <row r="1336" spans="1:6" x14ac:dyDescent="0.25">
      <c r="A1336">
        <v>2018</v>
      </c>
      <c r="B1336" t="s">
        <v>58</v>
      </c>
      <c r="C1336" t="s">
        <v>39</v>
      </c>
      <c r="D1336" s="1">
        <v>2839</v>
      </c>
      <c r="E1336" s="1">
        <v>67868</v>
      </c>
      <c r="F1336" s="2">
        <v>50399</v>
      </c>
    </row>
    <row r="1337" spans="1:6" x14ac:dyDescent="0.25">
      <c r="A1337">
        <v>2018</v>
      </c>
      <c r="B1337" t="s">
        <v>58</v>
      </c>
      <c r="C1337" t="s">
        <v>40</v>
      </c>
      <c r="D1337" s="1">
        <v>16127</v>
      </c>
      <c r="E1337" s="1">
        <v>420817</v>
      </c>
      <c r="F1337" s="2">
        <v>52099</v>
      </c>
    </row>
    <row r="1338" spans="1:6" x14ac:dyDescent="0.25">
      <c r="A1338">
        <v>2018</v>
      </c>
      <c r="B1338" t="s">
        <v>58</v>
      </c>
      <c r="C1338" t="s">
        <v>41</v>
      </c>
      <c r="D1338" s="1">
        <v>90552</v>
      </c>
      <c r="E1338" s="1">
        <v>1641637</v>
      </c>
      <c r="F1338" s="2">
        <v>48036</v>
      </c>
    </row>
    <row r="1339" spans="1:6" x14ac:dyDescent="0.25">
      <c r="A1339">
        <v>2018</v>
      </c>
      <c r="B1339" t="s">
        <v>58</v>
      </c>
      <c r="C1339" t="s">
        <v>42</v>
      </c>
      <c r="D1339" s="1">
        <v>12264</v>
      </c>
      <c r="E1339" s="1">
        <v>186785</v>
      </c>
      <c r="F1339" s="2">
        <v>43696</v>
      </c>
    </row>
    <row r="1340" spans="1:6" x14ac:dyDescent="0.25">
      <c r="A1340">
        <v>2018</v>
      </c>
      <c r="B1340" t="s">
        <v>58</v>
      </c>
      <c r="C1340" t="s">
        <v>43</v>
      </c>
      <c r="D1340" s="1">
        <v>2463</v>
      </c>
      <c r="E1340" s="1">
        <v>62630</v>
      </c>
      <c r="F1340" s="2">
        <v>46699</v>
      </c>
    </row>
    <row r="1341" spans="1:6" x14ac:dyDescent="0.25">
      <c r="A1341">
        <v>2018</v>
      </c>
      <c r="B1341" t="s">
        <v>58</v>
      </c>
      <c r="C1341" t="s">
        <v>44</v>
      </c>
      <c r="D1341" s="1">
        <v>43566</v>
      </c>
      <c r="E1341" s="1">
        <v>505487</v>
      </c>
      <c r="F1341" s="2">
        <v>49627</v>
      </c>
    </row>
    <row r="1342" spans="1:6" x14ac:dyDescent="0.25">
      <c r="A1342">
        <v>2018</v>
      </c>
      <c r="B1342" t="s">
        <v>58</v>
      </c>
      <c r="C1342" t="s">
        <v>45</v>
      </c>
      <c r="D1342" s="1">
        <v>61026</v>
      </c>
      <c r="E1342" s="1">
        <v>465717</v>
      </c>
      <c r="F1342" s="2">
        <v>51354</v>
      </c>
    </row>
    <row r="1343" spans="1:6" x14ac:dyDescent="0.25">
      <c r="A1343">
        <v>2018</v>
      </c>
      <c r="B1343" t="s">
        <v>58</v>
      </c>
      <c r="C1343" t="s">
        <v>46</v>
      </c>
      <c r="D1343" s="1">
        <v>5765</v>
      </c>
      <c r="E1343" s="1">
        <v>124431</v>
      </c>
      <c r="F1343" s="2">
        <v>46182</v>
      </c>
    </row>
    <row r="1344" spans="1:6" x14ac:dyDescent="0.25">
      <c r="A1344">
        <v>2018</v>
      </c>
      <c r="B1344" t="s">
        <v>58</v>
      </c>
      <c r="C1344" t="s">
        <v>47</v>
      </c>
      <c r="D1344" s="1">
        <v>28013</v>
      </c>
      <c r="E1344" s="1">
        <v>434143</v>
      </c>
      <c r="F1344" s="2">
        <v>49195</v>
      </c>
    </row>
    <row r="1345" spans="1:6" x14ac:dyDescent="0.25">
      <c r="A1345">
        <v>2018</v>
      </c>
      <c r="B1345" t="s">
        <v>58</v>
      </c>
      <c r="C1345" t="s">
        <v>48</v>
      </c>
      <c r="D1345" s="1">
        <v>3338</v>
      </c>
      <c r="E1345" s="1">
        <v>26972</v>
      </c>
      <c r="F1345" s="2">
        <v>42906</v>
      </c>
    </row>
    <row r="1346" spans="1:6" x14ac:dyDescent="0.25">
      <c r="A1346">
        <v>2018</v>
      </c>
      <c r="B1346" t="s">
        <v>59</v>
      </c>
      <c r="C1346" t="s">
        <v>1</v>
      </c>
      <c r="D1346" s="1">
        <v>10993</v>
      </c>
      <c r="E1346" s="1">
        <v>205942</v>
      </c>
      <c r="F1346" s="2">
        <v>16798</v>
      </c>
    </row>
    <row r="1347" spans="1:6" x14ac:dyDescent="0.25">
      <c r="A1347">
        <v>2018</v>
      </c>
      <c r="B1347" t="s">
        <v>59</v>
      </c>
      <c r="C1347" t="s">
        <v>2</v>
      </c>
      <c r="D1347" s="1">
        <v>13627</v>
      </c>
      <c r="E1347" s="1">
        <v>325897</v>
      </c>
      <c r="F1347" s="2">
        <v>24580</v>
      </c>
    </row>
    <row r="1348" spans="1:6" x14ac:dyDescent="0.25">
      <c r="A1348">
        <v>2018</v>
      </c>
      <c r="B1348" t="s">
        <v>59</v>
      </c>
      <c r="C1348" t="s">
        <v>3</v>
      </c>
      <c r="D1348" s="1">
        <v>7168</v>
      </c>
      <c r="E1348" s="1">
        <v>118405</v>
      </c>
      <c r="F1348" s="2">
        <v>16536</v>
      </c>
    </row>
    <row r="1349" spans="1:6" x14ac:dyDescent="0.25">
      <c r="A1349">
        <v>2018</v>
      </c>
      <c r="B1349" t="s">
        <v>59</v>
      </c>
      <c r="C1349" t="s">
        <v>4</v>
      </c>
      <c r="D1349" s="1">
        <v>111455</v>
      </c>
      <c r="E1349" s="1">
        <v>1988750</v>
      </c>
      <c r="F1349" s="2">
        <v>30527</v>
      </c>
    </row>
    <row r="1350" spans="1:6" x14ac:dyDescent="0.25">
      <c r="A1350">
        <v>2018</v>
      </c>
      <c r="B1350" t="s">
        <v>59</v>
      </c>
      <c r="C1350" t="s">
        <v>5</v>
      </c>
      <c r="D1350" s="1">
        <v>16939</v>
      </c>
      <c r="E1350" s="1">
        <v>339407</v>
      </c>
      <c r="F1350" s="2">
        <v>25878</v>
      </c>
    </row>
    <row r="1351" spans="1:6" x14ac:dyDescent="0.25">
      <c r="A1351">
        <v>2018</v>
      </c>
      <c r="B1351" t="s">
        <v>59</v>
      </c>
      <c r="C1351" t="s">
        <v>6</v>
      </c>
      <c r="D1351" s="1">
        <v>10668</v>
      </c>
      <c r="E1351" s="1">
        <v>157709</v>
      </c>
      <c r="F1351" s="2">
        <v>23705</v>
      </c>
    </row>
    <row r="1352" spans="1:6" x14ac:dyDescent="0.25">
      <c r="A1352">
        <v>2018</v>
      </c>
      <c r="B1352" t="s">
        <v>59</v>
      </c>
      <c r="C1352" t="s">
        <v>7</v>
      </c>
      <c r="D1352" s="1">
        <v>2637</v>
      </c>
      <c r="E1352" s="1">
        <v>51696</v>
      </c>
      <c r="F1352" s="2">
        <v>20414</v>
      </c>
    </row>
    <row r="1353" spans="1:6" x14ac:dyDescent="0.25">
      <c r="A1353">
        <v>2018</v>
      </c>
      <c r="B1353" t="s">
        <v>59</v>
      </c>
      <c r="C1353" t="s">
        <v>8</v>
      </c>
      <c r="D1353" s="1">
        <v>56587</v>
      </c>
      <c r="E1353" s="1">
        <v>1226786</v>
      </c>
      <c r="F1353" s="2">
        <v>25881</v>
      </c>
    </row>
    <row r="1354" spans="1:6" x14ac:dyDescent="0.25">
      <c r="A1354">
        <v>2018</v>
      </c>
      <c r="B1354" t="s">
        <v>59</v>
      </c>
      <c r="C1354" t="s">
        <v>9</v>
      </c>
      <c r="D1354" s="1">
        <v>24275</v>
      </c>
      <c r="E1354" s="1">
        <v>487598</v>
      </c>
      <c r="F1354" s="2">
        <v>20604</v>
      </c>
    </row>
    <row r="1355" spans="1:6" x14ac:dyDescent="0.25">
      <c r="A1355">
        <v>2018</v>
      </c>
      <c r="B1355" t="s">
        <v>59</v>
      </c>
      <c r="C1355" t="s">
        <v>10</v>
      </c>
      <c r="D1355" s="1">
        <v>5008</v>
      </c>
      <c r="E1355" s="1">
        <v>78912</v>
      </c>
      <c r="F1355" s="2">
        <v>17141</v>
      </c>
    </row>
    <row r="1356" spans="1:6" x14ac:dyDescent="0.25">
      <c r="A1356">
        <v>2018</v>
      </c>
      <c r="B1356" t="s">
        <v>59</v>
      </c>
      <c r="C1356" t="s">
        <v>11</v>
      </c>
      <c r="D1356" s="1">
        <v>32619</v>
      </c>
      <c r="E1356" s="1">
        <v>617101</v>
      </c>
      <c r="F1356" s="2">
        <v>23765</v>
      </c>
    </row>
    <row r="1357" spans="1:6" x14ac:dyDescent="0.25">
      <c r="A1357">
        <v>2018</v>
      </c>
      <c r="B1357" t="s">
        <v>59</v>
      </c>
      <c r="C1357" t="s">
        <v>12</v>
      </c>
      <c r="D1357" s="1">
        <v>15564</v>
      </c>
      <c r="E1357" s="1">
        <v>310335</v>
      </c>
      <c r="F1357" s="2">
        <v>18981</v>
      </c>
    </row>
    <row r="1358" spans="1:6" x14ac:dyDescent="0.25">
      <c r="A1358">
        <v>2018</v>
      </c>
      <c r="B1358" t="s">
        <v>59</v>
      </c>
      <c r="C1358" t="s">
        <v>13</v>
      </c>
      <c r="D1358" s="1">
        <v>8670</v>
      </c>
      <c r="E1358" s="1">
        <v>143729</v>
      </c>
      <c r="F1358" s="2">
        <v>16799</v>
      </c>
    </row>
    <row r="1359" spans="1:6" x14ac:dyDescent="0.25">
      <c r="A1359">
        <v>2018</v>
      </c>
      <c r="B1359" t="s">
        <v>59</v>
      </c>
      <c r="C1359" t="s">
        <v>14</v>
      </c>
      <c r="D1359" s="1">
        <v>6895</v>
      </c>
      <c r="E1359" s="1">
        <v>129372</v>
      </c>
      <c r="F1359" s="2">
        <v>16764</v>
      </c>
    </row>
    <row r="1360" spans="1:6" x14ac:dyDescent="0.25">
      <c r="A1360">
        <v>2018</v>
      </c>
      <c r="B1360" t="s">
        <v>59</v>
      </c>
      <c r="C1360" t="s">
        <v>15</v>
      </c>
      <c r="D1360" s="1">
        <v>10080</v>
      </c>
      <c r="E1360" s="1">
        <v>197894</v>
      </c>
      <c r="F1360" s="2">
        <v>17719</v>
      </c>
    </row>
    <row r="1361" spans="1:6" x14ac:dyDescent="0.25">
      <c r="A1361">
        <v>2018</v>
      </c>
      <c r="B1361" t="s">
        <v>59</v>
      </c>
      <c r="C1361" t="s">
        <v>16</v>
      </c>
      <c r="D1361" s="1">
        <v>12415</v>
      </c>
      <c r="E1361" s="1">
        <v>236357</v>
      </c>
      <c r="F1361" s="2">
        <v>21264</v>
      </c>
    </row>
    <row r="1362" spans="1:6" x14ac:dyDescent="0.25">
      <c r="A1362">
        <v>2018</v>
      </c>
      <c r="B1362" t="s">
        <v>59</v>
      </c>
      <c r="C1362" t="s">
        <v>17</v>
      </c>
      <c r="D1362" s="1">
        <v>5047</v>
      </c>
      <c r="E1362" s="1">
        <v>68406</v>
      </c>
      <c r="F1362" s="2">
        <v>22087</v>
      </c>
    </row>
    <row r="1363" spans="1:6" x14ac:dyDescent="0.25">
      <c r="A1363">
        <v>2018</v>
      </c>
      <c r="B1363" t="s">
        <v>59</v>
      </c>
      <c r="C1363" t="s">
        <v>18</v>
      </c>
      <c r="D1363" s="1">
        <v>14772</v>
      </c>
      <c r="E1363" s="1">
        <v>282009</v>
      </c>
      <c r="F1363" s="2">
        <v>24012</v>
      </c>
    </row>
    <row r="1364" spans="1:6" x14ac:dyDescent="0.25">
      <c r="A1364">
        <v>2018</v>
      </c>
      <c r="B1364" t="s">
        <v>59</v>
      </c>
      <c r="C1364" t="s">
        <v>19</v>
      </c>
      <c r="D1364" s="1">
        <v>20642</v>
      </c>
      <c r="E1364" s="1">
        <v>375767</v>
      </c>
      <c r="F1364" s="2">
        <v>27758</v>
      </c>
    </row>
    <row r="1365" spans="1:6" x14ac:dyDescent="0.25">
      <c r="A1365">
        <v>2018</v>
      </c>
      <c r="B1365" t="s">
        <v>59</v>
      </c>
      <c r="C1365" t="s">
        <v>20</v>
      </c>
      <c r="D1365" s="1">
        <v>22025</v>
      </c>
      <c r="E1365" s="1">
        <v>432290</v>
      </c>
      <c r="F1365" s="2">
        <v>20566</v>
      </c>
    </row>
    <row r="1366" spans="1:6" x14ac:dyDescent="0.25">
      <c r="A1366">
        <v>2018</v>
      </c>
      <c r="B1366" t="s">
        <v>59</v>
      </c>
      <c r="C1366" t="s">
        <v>21</v>
      </c>
      <c r="D1366" s="1">
        <v>15294</v>
      </c>
      <c r="E1366" s="1">
        <v>272821</v>
      </c>
      <c r="F1366" s="2">
        <v>22507</v>
      </c>
    </row>
    <row r="1367" spans="1:6" x14ac:dyDescent="0.25">
      <c r="A1367">
        <v>2018</v>
      </c>
      <c r="B1367" t="s">
        <v>59</v>
      </c>
      <c r="C1367" t="s">
        <v>22</v>
      </c>
      <c r="D1367" s="1">
        <v>6464</v>
      </c>
      <c r="E1367" s="1">
        <v>134785</v>
      </c>
      <c r="F1367" s="2">
        <v>17523</v>
      </c>
    </row>
    <row r="1368" spans="1:6" x14ac:dyDescent="0.25">
      <c r="A1368">
        <v>2018</v>
      </c>
      <c r="B1368" t="s">
        <v>59</v>
      </c>
      <c r="C1368" t="s">
        <v>23</v>
      </c>
      <c r="D1368" s="1">
        <v>14797</v>
      </c>
      <c r="E1368" s="1">
        <v>305418</v>
      </c>
      <c r="F1368" s="2">
        <v>20892</v>
      </c>
    </row>
    <row r="1369" spans="1:6" x14ac:dyDescent="0.25">
      <c r="A1369">
        <v>2018</v>
      </c>
      <c r="B1369" t="s">
        <v>59</v>
      </c>
      <c r="C1369" t="s">
        <v>24</v>
      </c>
      <c r="D1369" s="1">
        <v>5071</v>
      </c>
      <c r="E1369" s="1">
        <v>66044</v>
      </c>
      <c r="F1369" s="2">
        <v>19150</v>
      </c>
    </row>
    <row r="1370" spans="1:6" x14ac:dyDescent="0.25">
      <c r="A1370">
        <v>2018</v>
      </c>
      <c r="B1370" t="s">
        <v>59</v>
      </c>
      <c r="C1370" t="s">
        <v>25</v>
      </c>
      <c r="D1370" s="1">
        <v>5561</v>
      </c>
      <c r="E1370" s="1">
        <v>92581</v>
      </c>
      <c r="F1370" s="2">
        <v>16715</v>
      </c>
    </row>
    <row r="1371" spans="1:6" x14ac:dyDescent="0.25">
      <c r="A1371">
        <v>2018</v>
      </c>
      <c r="B1371" t="s">
        <v>59</v>
      </c>
      <c r="C1371" t="s">
        <v>26</v>
      </c>
      <c r="D1371" s="1">
        <v>8499</v>
      </c>
      <c r="E1371" s="1">
        <v>352051</v>
      </c>
      <c r="F1371" s="2">
        <v>33688</v>
      </c>
    </row>
    <row r="1372" spans="1:6" x14ac:dyDescent="0.25">
      <c r="A1372">
        <v>2018</v>
      </c>
      <c r="B1372" t="s">
        <v>59</v>
      </c>
      <c r="C1372" t="s">
        <v>27</v>
      </c>
      <c r="D1372" s="1">
        <v>4595</v>
      </c>
      <c r="E1372" s="1">
        <v>71975</v>
      </c>
      <c r="F1372" s="2">
        <v>21945</v>
      </c>
    </row>
    <row r="1373" spans="1:6" x14ac:dyDescent="0.25">
      <c r="A1373">
        <v>2018</v>
      </c>
      <c r="B1373" t="s">
        <v>59</v>
      </c>
      <c r="C1373" t="s">
        <v>28</v>
      </c>
      <c r="D1373" s="1">
        <v>24132</v>
      </c>
      <c r="E1373" s="1">
        <v>385616</v>
      </c>
      <c r="F1373" s="2">
        <v>26316</v>
      </c>
    </row>
    <row r="1374" spans="1:6" x14ac:dyDescent="0.25">
      <c r="A1374">
        <v>2018</v>
      </c>
      <c r="B1374" t="s">
        <v>59</v>
      </c>
      <c r="C1374" t="s">
        <v>29</v>
      </c>
      <c r="D1374" s="1">
        <v>5107</v>
      </c>
      <c r="E1374" s="1">
        <v>97785</v>
      </c>
      <c r="F1374" s="2">
        <v>18651</v>
      </c>
    </row>
    <row r="1375" spans="1:6" x14ac:dyDescent="0.25">
      <c r="A1375">
        <v>2018</v>
      </c>
      <c r="B1375" t="s">
        <v>59</v>
      </c>
      <c r="C1375" t="s">
        <v>30</v>
      </c>
      <c r="D1375" s="1">
        <v>66285</v>
      </c>
      <c r="E1375" s="1">
        <v>957343</v>
      </c>
      <c r="F1375" s="2">
        <v>33850</v>
      </c>
    </row>
    <row r="1376" spans="1:6" x14ac:dyDescent="0.25">
      <c r="A1376">
        <v>2018</v>
      </c>
      <c r="B1376" t="s">
        <v>59</v>
      </c>
      <c r="C1376" t="s">
        <v>31</v>
      </c>
      <c r="D1376" s="1">
        <v>25859</v>
      </c>
      <c r="E1376" s="1">
        <v>502877</v>
      </c>
      <c r="F1376" s="2">
        <v>19767</v>
      </c>
    </row>
    <row r="1377" spans="1:6" x14ac:dyDescent="0.25">
      <c r="A1377">
        <v>2018</v>
      </c>
      <c r="B1377" t="s">
        <v>59</v>
      </c>
      <c r="C1377" t="s">
        <v>32</v>
      </c>
      <c r="D1377" s="1">
        <v>2627</v>
      </c>
      <c r="E1377" s="1">
        <v>40375</v>
      </c>
      <c r="F1377" s="2">
        <v>17889</v>
      </c>
    </row>
    <row r="1378" spans="1:6" x14ac:dyDescent="0.25">
      <c r="A1378">
        <v>2018</v>
      </c>
      <c r="B1378" t="s">
        <v>59</v>
      </c>
      <c r="C1378" t="s">
        <v>33</v>
      </c>
      <c r="D1378" s="1">
        <v>28523</v>
      </c>
      <c r="E1378" s="1">
        <v>566681</v>
      </c>
      <c r="F1378" s="2">
        <v>19459</v>
      </c>
    </row>
    <row r="1379" spans="1:6" x14ac:dyDescent="0.25">
      <c r="A1379">
        <v>2018</v>
      </c>
      <c r="B1379" t="s">
        <v>59</v>
      </c>
      <c r="C1379" t="s">
        <v>34</v>
      </c>
      <c r="D1379" s="1">
        <v>9140</v>
      </c>
      <c r="E1379" s="1">
        <v>171567</v>
      </c>
      <c r="F1379" s="2">
        <v>18204</v>
      </c>
    </row>
    <row r="1380" spans="1:6" x14ac:dyDescent="0.25">
      <c r="A1380">
        <v>2018</v>
      </c>
      <c r="B1380" t="s">
        <v>59</v>
      </c>
      <c r="C1380" t="s">
        <v>35</v>
      </c>
      <c r="D1380" s="1">
        <v>13794</v>
      </c>
      <c r="E1380" s="1">
        <v>210781</v>
      </c>
      <c r="F1380" s="2">
        <v>22754</v>
      </c>
    </row>
    <row r="1381" spans="1:6" x14ac:dyDescent="0.25">
      <c r="A1381">
        <v>2018</v>
      </c>
      <c r="B1381" t="s">
        <v>59</v>
      </c>
      <c r="C1381" t="s">
        <v>36</v>
      </c>
      <c r="D1381" s="1">
        <v>33471</v>
      </c>
      <c r="E1381" s="1">
        <v>571799</v>
      </c>
      <c r="F1381" s="2">
        <v>21102</v>
      </c>
    </row>
    <row r="1382" spans="1:6" x14ac:dyDescent="0.25">
      <c r="A1382">
        <v>2018</v>
      </c>
      <c r="B1382" t="s">
        <v>59</v>
      </c>
      <c r="C1382" t="s">
        <v>37</v>
      </c>
      <c r="D1382" s="1">
        <v>3748</v>
      </c>
      <c r="E1382" s="1">
        <v>59154</v>
      </c>
      <c r="F1382" s="2">
        <v>22818</v>
      </c>
    </row>
    <row r="1383" spans="1:6" x14ac:dyDescent="0.25">
      <c r="A1383">
        <v>2018</v>
      </c>
      <c r="B1383" t="s">
        <v>59</v>
      </c>
      <c r="C1383" t="s">
        <v>38</v>
      </c>
      <c r="D1383" s="1">
        <v>12841</v>
      </c>
      <c r="E1383" s="1">
        <v>263743</v>
      </c>
      <c r="F1383" s="2">
        <v>17991</v>
      </c>
    </row>
    <row r="1384" spans="1:6" x14ac:dyDescent="0.25">
      <c r="A1384">
        <v>2018</v>
      </c>
      <c r="B1384" t="s">
        <v>59</v>
      </c>
      <c r="C1384" t="s">
        <v>39</v>
      </c>
      <c r="D1384" s="1">
        <v>3149</v>
      </c>
      <c r="E1384" s="1">
        <v>47321</v>
      </c>
      <c r="F1384" s="2">
        <v>16954</v>
      </c>
    </row>
    <row r="1385" spans="1:6" x14ac:dyDescent="0.25">
      <c r="A1385">
        <v>2018</v>
      </c>
      <c r="B1385" t="s">
        <v>59</v>
      </c>
      <c r="C1385" t="s">
        <v>40</v>
      </c>
      <c r="D1385" s="1">
        <v>16427</v>
      </c>
      <c r="E1385" s="1">
        <v>337857</v>
      </c>
      <c r="F1385" s="2">
        <v>23524</v>
      </c>
    </row>
    <row r="1386" spans="1:6" x14ac:dyDescent="0.25">
      <c r="A1386">
        <v>2018</v>
      </c>
      <c r="B1386" t="s">
        <v>59</v>
      </c>
      <c r="C1386" t="s">
        <v>41</v>
      </c>
      <c r="D1386" s="1">
        <v>62760</v>
      </c>
      <c r="E1386" s="1">
        <v>1354468</v>
      </c>
      <c r="F1386" s="2">
        <v>21861</v>
      </c>
    </row>
    <row r="1387" spans="1:6" x14ac:dyDescent="0.25">
      <c r="A1387">
        <v>2018</v>
      </c>
      <c r="B1387" t="s">
        <v>59</v>
      </c>
      <c r="C1387" t="s">
        <v>42</v>
      </c>
      <c r="D1387" s="1">
        <v>7374</v>
      </c>
      <c r="E1387" s="1">
        <v>148446</v>
      </c>
      <c r="F1387" s="2">
        <v>20121</v>
      </c>
    </row>
    <row r="1388" spans="1:6" x14ac:dyDescent="0.25">
      <c r="A1388">
        <v>2018</v>
      </c>
      <c r="B1388" t="s">
        <v>59</v>
      </c>
      <c r="C1388" t="s">
        <v>43</v>
      </c>
      <c r="D1388" s="1">
        <v>2279</v>
      </c>
      <c r="E1388" s="1">
        <v>37198</v>
      </c>
      <c r="F1388" s="2">
        <v>23107</v>
      </c>
    </row>
    <row r="1389" spans="1:6" x14ac:dyDescent="0.25">
      <c r="A1389">
        <v>2018</v>
      </c>
      <c r="B1389" t="s">
        <v>59</v>
      </c>
      <c r="C1389" t="s">
        <v>44</v>
      </c>
      <c r="D1389" s="1">
        <v>20479</v>
      </c>
      <c r="E1389" s="1">
        <v>406321</v>
      </c>
      <c r="F1389" s="2">
        <v>20678</v>
      </c>
    </row>
    <row r="1390" spans="1:6" x14ac:dyDescent="0.25">
      <c r="A1390">
        <v>2018</v>
      </c>
      <c r="B1390" t="s">
        <v>59</v>
      </c>
      <c r="C1390" t="s">
        <v>45</v>
      </c>
      <c r="D1390" s="1">
        <v>20431</v>
      </c>
      <c r="E1390" s="1">
        <v>335635</v>
      </c>
      <c r="F1390" s="2">
        <v>25357</v>
      </c>
    </row>
    <row r="1391" spans="1:6" x14ac:dyDescent="0.25">
      <c r="A1391">
        <v>2018</v>
      </c>
      <c r="B1391" t="s">
        <v>59</v>
      </c>
      <c r="C1391" t="s">
        <v>46</v>
      </c>
      <c r="D1391" s="1">
        <v>4722</v>
      </c>
      <c r="E1391" s="1">
        <v>74133</v>
      </c>
      <c r="F1391" s="2">
        <v>17916</v>
      </c>
    </row>
    <row r="1392" spans="1:6" x14ac:dyDescent="0.25">
      <c r="A1392">
        <v>2018</v>
      </c>
      <c r="B1392" t="s">
        <v>59</v>
      </c>
      <c r="C1392" t="s">
        <v>47</v>
      </c>
      <c r="D1392" s="1">
        <v>16931</v>
      </c>
      <c r="E1392" s="1">
        <v>282313</v>
      </c>
      <c r="F1392" s="2">
        <v>18305</v>
      </c>
    </row>
    <row r="1393" spans="1:6" x14ac:dyDescent="0.25">
      <c r="A1393">
        <v>2018</v>
      </c>
      <c r="B1393" t="s">
        <v>59</v>
      </c>
      <c r="C1393" t="s">
        <v>48</v>
      </c>
      <c r="D1393" s="1">
        <v>2383</v>
      </c>
      <c r="E1393" s="1">
        <v>36403</v>
      </c>
      <c r="F1393" s="2">
        <v>21270</v>
      </c>
    </row>
    <row r="1394" spans="1:6" x14ac:dyDescent="0.25">
      <c r="A1394">
        <v>2018</v>
      </c>
      <c r="B1394" t="s">
        <v>60</v>
      </c>
      <c r="C1394" t="s">
        <v>1</v>
      </c>
      <c r="D1394" s="1">
        <v>10102</v>
      </c>
      <c r="E1394" s="1">
        <v>46094</v>
      </c>
      <c r="F1394" s="2">
        <v>37839</v>
      </c>
    </row>
    <row r="1395" spans="1:6" x14ac:dyDescent="0.25">
      <c r="A1395">
        <v>2018</v>
      </c>
      <c r="B1395" t="s">
        <v>60</v>
      </c>
      <c r="C1395" t="s">
        <v>2</v>
      </c>
      <c r="D1395" s="1">
        <v>11119</v>
      </c>
      <c r="E1395" s="1">
        <v>75319</v>
      </c>
      <c r="F1395" s="2">
        <v>37697</v>
      </c>
    </row>
    <row r="1396" spans="1:6" x14ac:dyDescent="0.25">
      <c r="A1396">
        <v>2018</v>
      </c>
      <c r="B1396" t="s">
        <v>60</v>
      </c>
      <c r="C1396" t="s">
        <v>3</v>
      </c>
      <c r="D1396" s="1">
        <v>5345</v>
      </c>
      <c r="E1396" s="1">
        <v>24966</v>
      </c>
      <c r="F1396" s="2">
        <v>34843</v>
      </c>
    </row>
    <row r="1397" spans="1:6" x14ac:dyDescent="0.25">
      <c r="A1397">
        <v>2018</v>
      </c>
      <c r="B1397" t="s">
        <v>60</v>
      </c>
      <c r="C1397" t="s">
        <v>4</v>
      </c>
      <c r="D1397" s="1">
        <v>95398</v>
      </c>
      <c r="E1397" s="1">
        <v>541832</v>
      </c>
      <c r="F1397" s="2">
        <v>40668</v>
      </c>
    </row>
    <row r="1398" spans="1:6" x14ac:dyDescent="0.25">
      <c r="A1398">
        <v>2018</v>
      </c>
      <c r="B1398" t="s">
        <v>60</v>
      </c>
      <c r="C1398" t="s">
        <v>5</v>
      </c>
      <c r="D1398" s="1">
        <v>16405</v>
      </c>
      <c r="E1398" s="1">
        <v>82040</v>
      </c>
      <c r="F1398" s="2">
        <v>40987</v>
      </c>
    </row>
    <row r="1399" spans="1:6" x14ac:dyDescent="0.25">
      <c r="A1399">
        <v>2018</v>
      </c>
      <c r="B1399" t="s">
        <v>60</v>
      </c>
      <c r="C1399" t="s">
        <v>6</v>
      </c>
      <c r="D1399" s="1">
        <v>17517</v>
      </c>
      <c r="E1399" s="1">
        <v>66913</v>
      </c>
      <c r="F1399" s="2">
        <v>33615</v>
      </c>
    </row>
    <row r="1400" spans="1:6" x14ac:dyDescent="0.25">
      <c r="A1400">
        <v>2018</v>
      </c>
      <c r="B1400" t="s">
        <v>60</v>
      </c>
      <c r="C1400" t="s">
        <v>7</v>
      </c>
      <c r="D1400" s="1">
        <v>2054</v>
      </c>
      <c r="E1400" s="1">
        <v>11930</v>
      </c>
      <c r="F1400" s="2">
        <v>34259</v>
      </c>
    </row>
    <row r="1401" spans="1:6" x14ac:dyDescent="0.25">
      <c r="A1401">
        <v>2018</v>
      </c>
      <c r="B1401" t="s">
        <v>60</v>
      </c>
      <c r="C1401" t="s">
        <v>8</v>
      </c>
      <c r="D1401" s="1">
        <v>55687</v>
      </c>
      <c r="E1401" s="1">
        <v>279269</v>
      </c>
      <c r="F1401" s="2">
        <v>36402</v>
      </c>
    </row>
    <row r="1402" spans="1:6" x14ac:dyDescent="0.25">
      <c r="A1402">
        <v>2018</v>
      </c>
      <c r="B1402" t="s">
        <v>60</v>
      </c>
      <c r="C1402" t="s">
        <v>9</v>
      </c>
      <c r="D1402" s="1">
        <v>17999</v>
      </c>
      <c r="E1402" s="1">
        <v>108656</v>
      </c>
      <c r="F1402" s="2">
        <v>36377</v>
      </c>
    </row>
    <row r="1403" spans="1:6" x14ac:dyDescent="0.25">
      <c r="A1403">
        <v>2018</v>
      </c>
      <c r="B1403" t="s">
        <v>60</v>
      </c>
      <c r="C1403" t="s">
        <v>10</v>
      </c>
      <c r="D1403" s="1">
        <v>3985</v>
      </c>
      <c r="E1403" s="1">
        <v>18622</v>
      </c>
      <c r="F1403" s="2">
        <v>31284</v>
      </c>
    </row>
    <row r="1404" spans="1:6" x14ac:dyDescent="0.25">
      <c r="A1404">
        <v>2018</v>
      </c>
      <c r="B1404" t="s">
        <v>60</v>
      </c>
      <c r="C1404" t="s">
        <v>11</v>
      </c>
      <c r="D1404" s="1">
        <v>39449</v>
      </c>
      <c r="E1404" s="1">
        <v>208655</v>
      </c>
      <c r="F1404" s="2">
        <v>42392</v>
      </c>
    </row>
    <row r="1405" spans="1:6" x14ac:dyDescent="0.25">
      <c r="A1405">
        <v>2018</v>
      </c>
      <c r="B1405" t="s">
        <v>60</v>
      </c>
      <c r="C1405" t="s">
        <v>12</v>
      </c>
      <c r="D1405" s="1">
        <v>13122</v>
      </c>
      <c r="E1405" s="1">
        <v>87997</v>
      </c>
      <c r="F1405" s="2">
        <v>32900</v>
      </c>
    </row>
    <row r="1406" spans="1:6" x14ac:dyDescent="0.25">
      <c r="A1406">
        <v>2018</v>
      </c>
      <c r="B1406" t="s">
        <v>60</v>
      </c>
      <c r="C1406" t="s">
        <v>13</v>
      </c>
      <c r="D1406" s="1">
        <v>8669</v>
      </c>
      <c r="E1406" s="1">
        <v>42339</v>
      </c>
      <c r="F1406" s="2">
        <v>34313</v>
      </c>
    </row>
    <row r="1407" spans="1:6" x14ac:dyDescent="0.25">
      <c r="A1407">
        <v>2018</v>
      </c>
      <c r="B1407" t="s">
        <v>60</v>
      </c>
      <c r="C1407" t="s">
        <v>14</v>
      </c>
      <c r="D1407" s="1">
        <v>5983</v>
      </c>
      <c r="E1407" s="1">
        <v>33757</v>
      </c>
      <c r="F1407" s="2">
        <v>34478</v>
      </c>
    </row>
    <row r="1408" spans="1:6" x14ac:dyDescent="0.25">
      <c r="A1408">
        <v>2018</v>
      </c>
      <c r="B1408" t="s">
        <v>60</v>
      </c>
      <c r="C1408" t="s">
        <v>15</v>
      </c>
      <c r="D1408" s="1">
        <v>10697</v>
      </c>
      <c r="E1408" s="1">
        <v>46476</v>
      </c>
      <c r="F1408" s="2">
        <v>33616</v>
      </c>
    </row>
    <row r="1409" spans="1:6" x14ac:dyDescent="0.25">
      <c r="A1409">
        <v>2018</v>
      </c>
      <c r="B1409" t="s">
        <v>60</v>
      </c>
      <c r="C1409" t="s">
        <v>16</v>
      </c>
      <c r="D1409" s="1">
        <v>9230</v>
      </c>
      <c r="E1409" s="1">
        <v>45904</v>
      </c>
      <c r="F1409" s="2">
        <v>37854</v>
      </c>
    </row>
    <row r="1410" spans="1:6" x14ac:dyDescent="0.25">
      <c r="A1410">
        <v>2018</v>
      </c>
      <c r="B1410" t="s">
        <v>60</v>
      </c>
      <c r="C1410" t="s">
        <v>17</v>
      </c>
      <c r="D1410" s="1">
        <v>3832</v>
      </c>
      <c r="E1410" s="1">
        <v>18021</v>
      </c>
      <c r="F1410" s="2">
        <v>33967</v>
      </c>
    </row>
    <row r="1411" spans="1:6" x14ac:dyDescent="0.25">
      <c r="A1411">
        <v>2018</v>
      </c>
      <c r="B1411" t="s">
        <v>60</v>
      </c>
      <c r="C1411" t="s">
        <v>18</v>
      </c>
      <c r="D1411" s="1">
        <v>19354</v>
      </c>
      <c r="E1411" s="1">
        <v>91803</v>
      </c>
      <c r="F1411" s="2">
        <v>43222</v>
      </c>
    </row>
    <row r="1412" spans="1:6" x14ac:dyDescent="0.25">
      <c r="A1412">
        <v>2018</v>
      </c>
      <c r="B1412" t="s">
        <v>60</v>
      </c>
      <c r="C1412" t="s">
        <v>19</v>
      </c>
      <c r="D1412" s="1">
        <v>21621</v>
      </c>
      <c r="E1412" s="1">
        <v>119963</v>
      </c>
      <c r="F1412" s="2">
        <v>38569</v>
      </c>
    </row>
    <row r="1413" spans="1:6" x14ac:dyDescent="0.25">
      <c r="A1413">
        <v>2018</v>
      </c>
      <c r="B1413" t="s">
        <v>60</v>
      </c>
      <c r="C1413" t="s">
        <v>20</v>
      </c>
      <c r="D1413" s="1">
        <v>31024</v>
      </c>
      <c r="E1413" s="1">
        <v>139968</v>
      </c>
      <c r="F1413" s="2">
        <v>33275</v>
      </c>
    </row>
    <row r="1414" spans="1:6" x14ac:dyDescent="0.25">
      <c r="A1414">
        <v>2018</v>
      </c>
      <c r="B1414" t="s">
        <v>60</v>
      </c>
      <c r="C1414" t="s">
        <v>21</v>
      </c>
      <c r="D1414" s="1">
        <v>17099</v>
      </c>
      <c r="E1414" s="1">
        <v>90096</v>
      </c>
      <c r="F1414" s="2">
        <v>34221</v>
      </c>
    </row>
    <row r="1415" spans="1:6" x14ac:dyDescent="0.25">
      <c r="A1415">
        <v>2018</v>
      </c>
      <c r="B1415" t="s">
        <v>60</v>
      </c>
      <c r="C1415" t="s">
        <v>22</v>
      </c>
      <c r="D1415" s="1">
        <v>4645</v>
      </c>
      <c r="E1415" s="1">
        <v>21202</v>
      </c>
      <c r="F1415" s="2">
        <v>34491</v>
      </c>
    </row>
    <row r="1416" spans="1:6" x14ac:dyDescent="0.25">
      <c r="A1416">
        <v>2018</v>
      </c>
      <c r="B1416" t="s">
        <v>60</v>
      </c>
      <c r="C1416" t="s">
        <v>23</v>
      </c>
      <c r="D1416" s="1">
        <v>12996</v>
      </c>
      <c r="E1416" s="1">
        <v>75350</v>
      </c>
      <c r="F1416" s="2">
        <v>34075</v>
      </c>
    </row>
    <row r="1417" spans="1:6" x14ac:dyDescent="0.25">
      <c r="A1417">
        <v>2018</v>
      </c>
      <c r="B1417" t="s">
        <v>60</v>
      </c>
      <c r="C1417" t="s">
        <v>24</v>
      </c>
      <c r="D1417" s="1">
        <v>4285</v>
      </c>
      <c r="E1417" s="1">
        <v>18301</v>
      </c>
      <c r="F1417" s="2">
        <v>30293</v>
      </c>
    </row>
    <row r="1418" spans="1:6" x14ac:dyDescent="0.25">
      <c r="A1418">
        <v>2018</v>
      </c>
      <c r="B1418" t="s">
        <v>60</v>
      </c>
      <c r="C1418" t="s">
        <v>25</v>
      </c>
      <c r="D1418" s="1">
        <v>4614</v>
      </c>
      <c r="E1418" s="1">
        <v>25333</v>
      </c>
      <c r="F1418" s="2">
        <v>32212</v>
      </c>
    </row>
    <row r="1419" spans="1:6" x14ac:dyDescent="0.25">
      <c r="A1419">
        <v>2018</v>
      </c>
      <c r="B1419" t="s">
        <v>60</v>
      </c>
      <c r="C1419" t="s">
        <v>26</v>
      </c>
      <c r="D1419" s="1">
        <v>5080</v>
      </c>
      <c r="E1419" s="1">
        <v>34964</v>
      </c>
      <c r="F1419" s="2">
        <v>37484</v>
      </c>
    </row>
    <row r="1420" spans="1:6" x14ac:dyDescent="0.25">
      <c r="A1420">
        <v>2018</v>
      </c>
      <c r="B1420" t="s">
        <v>60</v>
      </c>
      <c r="C1420" t="s">
        <v>27</v>
      </c>
      <c r="D1420" s="1">
        <v>3934</v>
      </c>
      <c r="E1420" s="1">
        <v>20991</v>
      </c>
      <c r="F1420" s="2">
        <v>37927</v>
      </c>
    </row>
    <row r="1421" spans="1:6" x14ac:dyDescent="0.25">
      <c r="A1421">
        <v>2018</v>
      </c>
      <c r="B1421" t="s">
        <v>60</v>
      </c>
      <c r="C1421" t="s">
        <v>28</v>
      </c>
      <c r="D1421" s="1">
        <v>24105</v>
      </c>
      <c r="E1421" s="1">
        <v>135824</v>
      </c>
      <c r="F1421" s="2">
        <v>36518</v>
      </c>
    </row>
    <row r="1422" spans="1:6" x14ac:dyDescent="0.25">
      <c r="A1422">
        <v>2018</v>
      </c>
      <c r="B1422" t="s">
        <v>60</v>
      </c>
      <c r="C1422" t="s">
        <v>29</v>
      </c>
      <c r="D1422" s="1">
        <v>4073</v>
      </c>
      <c r="E1422" s="1">
        <v>20964</v>
      </c>
      <c r="F1422" s="2">
        <v>34365</v>
      </c>
    </row>
    <row r="1423" spans="1:6" x14ac:dyDescent="0.25">
      <c r="A1423">
        <v>2018</v>
      </c>
      <c r="B1423" t="s">
        <v>60</v>
      </c>
      <c r="C1423" t="s">
        <v>30</v>
      </c>
      <c r="D1423" s="1">
        <v>73275</v>
      </c>
      <c r="E1423" s="1">
        <v>370268</v>
      </c>
      <c r="F1423" s="2">
        <v>41910</v>
      </c>
    </row>
    <row r="1424" spans="1:6" x14ac:dyDescent="0.25">
      <c r="A1424">
        <v>2018</v>
      </c>
      <c r="B1424" t="s">
        <v>60</v>
      </c>
      <c r="C1424" t="s">
        <v>31</v>
      </c>
      <c r="D1424" s="1">
        <v>23444</v>
      </c>
      <c r="E1424" s="1">
        <v>109986</v>
      </c>
      <c r="F1424" s="2">
        <v>35102</v>
      </c>
    </row>
    <row r="1425" spans="1:6" x14ac:dyDescent="0.25">
      <c r="A1425">
        <v>2018</v>
      </c>
      <c r="B1425" t="s">
        <v>60</v>
      </c>
      <c r="C1425" t="s">
        <v>32</v>
      </c>
      <c r="D1425" s="1">
        <v>2051</v>
      </c>
      <c r="E1425" s="1">
        <v>11307</v>
      </c>
      <c r="F1425" s="2">
        <v>37216</v>
      </c>
    </row>
    <row r="1426" spans="1:6" x14ac:dyDescent="0.25">
      <c r="A1426">
        <v>2018</v>
      </c>
      <c r="B1426" t="s">
        <v>60</v>
      </c>
      <c r="C1426" t="s">
        <v>33</v>
      </c>
      <c r="D1426" s="1">
        <v>23542</v>
      </c>
      <c r="E1426" s="1">
        <v>156685</v>
      </c>
      <c r="F1426" s="2">
        <v>34001</v>
      </c>
    </row>
    <row r="1427" spans="1:6" x14ac:dyDescent="0.25">
      <c r="A1427">
        <v>2018</v>
      </c>
      <c r="B1427" t="s">
        <v>60</v>
      </c>
      <c r="C1427" t="s">
        <v>34</v>
      </c>
      <c r="D1427" s="1">
        <v>6640</v>
      </c>
      <c r="E1427" s="1">
        <v>36417</v>
      </c>
      <c r="F1427" s="2">
        <v>35221</v>
      </c>
    </row>
    <row r="1428" spans="1:6" x14ac:dyDescent="0.25">
      <c r="A1428">
        <v>2018</v>
      </c>
      <c r="B1428" t="s">
        <v>60</v>
      </c>
      <c r="C1428" t="s">
        <v>35</v>
      </c>
      <c r="D1428" s="1">
        <v>24302</v>
      </c>
      <c r="E1428" s="1">
        <v>77296</v>
      </c>
      <c r="F1428" s="2">
        <v>34031</v>
      </c>
    </row>
    <row r="1429" spans="1:6" x14ac:dyDescent="0.25">
      <c r="A1429">
        <v>2018</v>
      </c>
      <c r="B1429" t="s">
        <v>60</v>
      </c>
      <c r="C1429" t="s">
        <v>36</v>
      </c>
      <c r="D1429" s="1">
        <v>32530</v>
      </c>
      <c r="E1429" s="1">
        <v>199883</v>
      </c>
      <c r="F1429" s="2">
        <v>33988</v>
      </c>
    </row>
    <row r="1430" spans="1:6" x14ac:dyDescent="0.25">
      <c r="A1430">
        <v>2018</v>
      </c>
      <c r="B1430" t="s">
        <v>60</v>
      </c>
      <c r="C1430" t="s">
        <v>37</v>
      </c>
      <c r="D1430" s="1">
        <v>3459</v>
      </c>
      <c r="E1430" s="1">
        <v>17990</v>
      </c>
      <c r="F1430" s="2">
        <v>33322</v>
      </c>
    </row>
    <row r="1431" spans="1:6" x14ac:dyDescent="0.25">
      <c r="A1431">
        <v>2018</v>
      </c>
      <c r="B1431" t="s">
        <v>60</v>
      </c>
      <c r="C1431" t="s">
        <v>38</v>
      </c>
      <c r="D1431" s="1">
        <v>11329</v>
      </c>
      <c r="E1431" s="1">
        <v>53632</v>
      </c>
      <c r="F1431" s="2">
        <v>32985</v>
      </c>
    </row>
    <row r="1432" spans="1:6" x14ac:dyDescent="0.25">
      <c r="A1432">
        <v>2018</v>
      </c>
      <c r="B1432" t="s">
        <v>60</v>
      </c>
      <c r="C1432" t="s">
        <v>39</v>
      </c>
      <c r="D1432" s="1">
        <v>2201</v>
      </c>
      <c r="E1432" s="1">
        <v>11149</v>
      </c>
      <c r="F1432" s="2">
        <v>32874</v>
      </c>
    </row>
    <row r="1433" spans="1:6" x14ac:dyDescent="0.25">
      <c r="A1433">
        <v>2018</v>
      </c>
      <c r="B1433" t="s">
        <v>60</v>
      </c>
      <c r="C1433" t="s">
        <v>40</v>
      </c>
      <c r="D1433" s="1">
        <v>15494</v>
      </c>
      <c r="E1433" s="1">
        <v>78706</v>
      </c>
      <c r="F1433" s="2">
        <v>35137</v>
      </c>
    </row>
    <row r="1434" spans="1:6" x14ac:dyDescent="0.25">
      <c r="A1434">
        <v>2018</v>
      </c>
      <c r="B1434" t="s">
        <v>60</v>
      </c>
      <c r="C1434" t="s">
        <v>41</v>
      </c>
      <c r="D1434" s="1">
        <v>56598</v>
      </c>
      <c r="E1434" s="1">
        <v>334126</v>
      </c>
      <c r="F1434" s="2">
        <v>39429</v>
      </c>
    </row>
    <row r="1435" spans="1:6" x14ac:dyDescent="0.25">
      <c r="A1435">
        <v>2018</v>
      </c>
      <c r="B1435" t="s">
        <v>60</v>
      </c>
      <c r="C1435" t="s">
        <v>42</v>
      </c>
      <c r="D1435" s="1">
        <v>6320</v>
      </c>
      <c r="E1435" s="1">
        <v>36120</v>
      </c>
      <c r="F1435" s="2">
        <v>35627</v>
      </c>
    </row>
    <row r="1436" spans="1:6" x14ac:dyDescent="0.25">
      <c r="A1436">
        <v>2018</v>
      </c>
      <c r="B1436" t="s">
        <v>60</v>
      </c>
      <c r="C1436" t="s">
        <v>43</v>
      </c>
      <c r="D1436" s="1">
        <v>1954</v>
      </c>
      <c r="E1436" s="1">
        <v>8748</v>
      </c>
      <c r="F1436" s="2">
        <v>36288</v>
      </c>
    </row>
    <row r="1437" spans="1:6" x14ac:dyDescent="0.25">
      <c r="A1437">
        <v>2018</v>
      </c>
      <c r="B1437" t="s">
        <v>60</v>
      </c>
      <c r="C1437" t="s">
        <v>44</v>
      </c>
      <c r="D1437" s="1">
        <v>36204</v>
      </c>
      <c r="E1437" s="1">
        <v>145640</v>
      </c>
      <c r="F1437" s="2">
        <v>42804</v>
      </c>
    </row>
    <row r="1438" spans="1:6" x14ac:dyDescent="0.25">
      <c r="A1438">
        <v>2018</v>
      </c>
      <c r="B1438" t="s">
        <v>60</v>
      </c>
      <c r="C1438" t="s">
        <v>45</v>
      </c>
      <c r="D1438" s="1">
        <v>19893</v>
      </c>
      <c r="E1438" s="1">
        <v>99054</v>
      </c>
      <c r="F1438" s="2">
        <v>40310</v>
      </c>
    </row>
    <row r="1439" spans="1:6" x14ac:dyDescent="0.25">
      <c r="A1439">
        <v>2018</v>
      </c>
      <c r="B1439" t="s">
        <v>60</v>
      </c>
      <c r="C1439" t="s">
        <v>46</v>
      </c>
      <c r="D1439" s="1">
        <v>5536</v>
      </c>
      <c r="E1439" s="1">
        <v>19873</v>
      </c>
      <c r="F1439" s="2">
        <v>31425</v>
      </c>
    </row>
    <row r="1440" spans="1:6" x14ac:dyDescent="0.25">
      <c r="A1440">
        <v>2018</v>
      </c>
      <c r="B1440" t="s">
        <v>60</v>
      </c>
      <c r="C1440" t="s">
        <v>47</v>
      </c>
      <c r="D1440" s="1">
        <v>14009</v>
      </c>
      <c r="E1440" s="1">
        <v>84183</v>
      </c>
      <c r="F1440" s="2">
        <v>30593</v>
      </c>
    </row>
    <row r="1441" spans="1:6" x14ac:dyDescent="0.25">
      <c r="A1441">
        <v>2018</v>
      </c>
      <c r="B1441" t="s">
        <v>60</v>
      </c>
      <c r="C1441" t="s">
        <v>48</v>
      </c>
      <c r="D1441" s="1">
        <v>1664</v>
      </c>
      <c r="E1441" s="1">
        <v>7261</v>
      </c>
      <c r="F1441" s="2">
        <v>37155</v>
      </c>
    </row>
    <row r="1442" spans="1:6" x14ac:dyDescent="0.25">
      <c r="A1442">
        <v>2017</v>
      </c>
      <c r="B1442" t="s">
        <v>55</v>
      </c>
      <c r="C1442" t="s">
        <v>1</v>
      </c>
      <c r="D1442" s="1">
        <v>1815</v>
      </c>
      <c r="E1442" s="1">
        <v>17999</v>
      </c>
      <c r="F1442" s="2">
        <v>52748</v>
      </c>
    </row>
    <row r="1443" spans="1:6" x14ac:dyDescent="0.25">
      <c r="A1443">
        <v>2017</v>
      </c>
      <c r="B1443" t="s">
        <v>55</v>
      </c>
      <c r="C1443" t="s">
        <v>2</v>
      </c>
      <c r="D1443" s="1">
        <v>1257</v>
      </c>
      <c r="E1443" s="1">
        <v>37216</v>
      </c>
      <c r="F1443" s="2">
        <v>47116</v>
      </c>
    </row>
    <row r="1444" spans="1:6" x14ac:dyDescent="0.25">
      <c r="A1444">
        <v>2017</v>
      </c>
      <c r="B1444" t="s">
        <v>55</v>
      </c>
      <c r="C1444" t="s">
        <v>3</v>
      </c>
      <c r="D1444" s="1">
        <v>2551</v>
      </c>
      <c r="E1444" s="1">
        <v>16476</v>
      </c>
      <c r="F1444" s="2">
        <v>46191</v>
      </c>
    </row>
    <row r="1445" spans="1:6" x14ac:dyDescent="0.25">
      <c r="A1445">
        <v>2017</v>
      </c>
      <c r="B1445" t="s">
        <v>55</v>
      </c>
      <c r="C1445" t="s">
        <v>4</v>
      </c>
      <c r="D1445" s="1">
        <v>17021</v>
      </c>
      <c r="E1445" s="1">
        <v>441460</v>
      </c>
      <c r="F1445" s="2">
        <v>37249</v>
      </c>
    </row>
    <row r="1446" spans="1:6" x14ac:dyDescent="0.25">
      <c r="A1446">
        <v>2017</v>
      </c>
      <c r="B1446" t="s">
        <v>55</v>
      </c>
      <c r="C1446" t="s">
        <v>5</v>
      </c>
      <c r="D1446" s="1">
        <v>3202</v>
      </c>
      <c r="E1446" s="1">
        <v>43394</v>
      </c>
      <c r="F1446" s="2">
        <v>84161</v>
      </c>
    </row>
    <row r="1447" spans="1:6" x14ac:dyDescent="0.25">
      <c r="A1447">
        <v>2017</v>
      </c>
      <c r="B1447" t="s">
        <v>55</v>
      </c>
      <c r="C1447" t="s">
        <v>6</v>
      </c>
      <c r="D1447">
        <v>433</v>
      </c>
      <c r="E1447" s="1">
        <v>5305</v>
      </c>
      <c r="F1447" s="2">
        <v>40017</v>
      </c>
    </row>
    <row r="1448" spans="1:6" x14ac:dyDescent="0.25">
      <c r="A1448">
        <v>2017</v>
      </c>
      <c r="B1448" t="s">
        <v>55</v>
      </c>
      <c r="C1448" t="s">
        <v>7</v>
      </c>
      <c r="D1448">
        <v>177</v>
      </c>
      <c r="E1448" s="1">
        <v>1538</v>
      </c>
      <c r="F1448" s="2">
        <v>39651</v>
      </c>
    </row>
    <row r="1449" spans="1:6" x14ac:dyDescent="0.25">
      <c r="A1449">
        <v>2017</v>
      </c>
      <c r="B1449" t="s">
        <v>55</v>
      </c>
      <c r="C1449" t="s">
        <v>8</v>
      </c>
      <c r="D1449" s="1">
        <v>5285</v>
      </c>
      <c r="E1449" s="1">
        <v>75471</v>
      </c>
      <c r="F1449" s="2">
        <v>32773</v>
      </c>
    </row>
    <row r="1450" spans="1:6" x14ac:dyDescent="0.25">
      <c r="A1450">
        <v>2017</v>
      </c>
      <c r="B1450" t="s">
        <v>55</v>
      </c>
      <c r="C1450" t="s">
        <v>9</v>
      </c>
      <c r="D1450" s="1">
        <v>2594</v>
      </c>
      <c r="E1450" s="1">
        <v>29299</v>
      </c>
      <c r="F1450" s="2">
        <v>41048</v>
      </c>
    </row>
    <row r="1451" spans="1:6" x14ac:dyDescent="0.25">
      <c r="A1451">
        <v>2017</v>
      </c>
      <c r="B1451" t="s">
        <v>55</v>
      </c>
      <c r="C1451" t="s">
        <v>10</v>
      </c>
      <c r="D1451" s="1">
        <v>2448</v>
      </c>
      <c r="E1451" s="1">
        <v>26790</v>
      </c>
      <c r="F1451" s="2">
        <v>38417</v>
      </c>
    </row>
    <row r="1452" spans="1:6" x14ac:dyDescent="0.25">
      <c r="A1452">
        <v>2017</v>
      </c>
      <c r="B1452" t="s">
        <v>55</v>
      </c>
      <c r="C1452" t="s">
        <v>11</v>
      </c>
      <c r="D1452" s="1">
        <v>2730</v>
      </c>
      <c r="E1452" s="1">
        <v>26665</v>
      </c>
      <c r="F1452" s="2">
        <v>48549</v>
      </c>
    </row>
    <row r="1453" spans="1:6" x14ac:dyDescent="0.25">
      <c r="A1453">
        <v>2017</v>
      </c>
      <c r="B1453" t="s">
        <v>55</v>
      </c>
      <c r="C1453" t="s">
        <v>12</v>
      </c>
      <c r="D1453" s="1">
        <v>2183</v>
      </c>
      <c r="E1453" s="1">
        <v>21072</v>
      </c>
      <c r="F1453" s="2">
        <v>47269</v>
      </c>
    </row>
    <row r="1454" spans="1:6" x14ac:dyDescent="0.25">
      <c r="A1454">
        <v>2017</v>
      </c>
      <c r="B1454" t="s">
        <v>55</v>
      </c>
      <c r="C1454" t="s">
        <v>13</v>
      </c>
      <c r="D1454" s="1">
        <v>2766</v>
      </c>
      <c r="E1454" s="1">
        <v>22503</v>
      </c>
      <c r="F1454" s="2">
        <v>41388</v>
      </c>
    </row>
    <row r="1455" spans="1:6" x14ac:dyDescent="0.25">
      <c r="A1455">
        <v>2017</v>
      </c>
      <c r="B1455" t="s">
        <v>55</v>
      </c>
      <c r="C1455" t="s">
        <v>14</v>
      </c>
      <c r="D1455" s="1">
        <v>2686</v>
      </c>
      <c r="E1455" s="1">
        <v>19024</v>
      </c>
      <c r="F1455" s="2">
        <v>45105</v>
      </c>
    </row>
    <row r="1456" spans="1:6" x14ac:dyDescent="0.25">
      <c r="A1456">
        <v>2017</v>
      </c>
      <c r="B1456" t="s">
        <v>55</v>
      </c>
      <c r="C1456" t="s">
        <v>15</v>
      </c>
      <c r="D1456" s="1">
        <v>1584</v>
      </c>
      <c r="E1456" s="1">
        <v>18306</v>
      </c>
      <c r="F1456" s="2">
        <v>54943</v>
      </c>
    </row>
    <row r="1457" spans="1:6" x14ac:dyDescent="0.25">
      <c r="A1457">
        <v>2017</v>
      </c>
      <c r="B1457" t="s">
        <v>55</v>
      </c>
      <c r="C1457" t="s">
        <v>16</v>
      </c>
      <c r="D1457" s="1">
        <v>3082</v>
      </c>
      <c r="E1457" s="1">
        <v>42251</v>
      </c>
      <c r="F1457" s="2">
        <v>80128</v>
      </c>
    </row>
    <row r="1458" spans="1:6" x14ac:dyDescent="0.25">
      <c r="A1458">
        <v>2017</v>
      </c>
      <c r="B1458" t="s">
        <v>55</v>
      </c>
      <c r="C1458" t="s">
        <v>17</v>
      </c>
      <c r="D1458" s="1">
        <v>1370</v>
      </c>
      <c r="E1458" s="1">
        <v>6817</v>
      </c>
      <c r="F1458" s="2">
        <v>40118</v>
      </c>
    </row>
    <row r="1459" spans="1:6" x14ac:dyDescent="0.25">
      <c r="A1459">
        <v>2017</v>
      </c>
      <c r="B1459" t="s">
        <v>55</v>
      </c>
      <c r="C1459" t="s">
        <v>18</v>
      </c>
      <c r="D1459">
        <v>723</v>
      </c>
      <c r="E1459" s="1">
        <v>6432</v>
      </c>
      <c r="F1459" s="2">
        <v>42478</v>
      </c>
    </row>
    <row r="1460" spans="1:6" x14ac:dyDescent="0.25">
      <c r="A1460">
        <v>2017</v>
      </c>
      <c r="B1460" t="s">
        <v>55</v>
      </c>
      <c r="C1460" t="s">
        <v>19</v>
      </c>
      <c r="D1460" s="1">
        <v>1030</v>
      </c>
      <c r="E1460" s="1">
        <v>9290</v>
      </c>
      <c r="F1460" s="2">
        <v>61286</v>
      </c>
    </row>
    <row r="1461" spans="1:6" x14ac:dyDescent="0.25">
      <c r="A1461">
        <v>2017</v>
      </c>
      <c r="B1461" t="s">
        <v>55</v>
      </c>
      <c r="C1461" t="s">
        <v>20</v>
      </c>
      <c r="D1461" s="1">
        <v>3203</v>
      </c>
      <c r="E1461" s="1">
        <v>36801</v>
      </c>
      <c r="F1461" s="2">
        <v>38160</v>
      </c>
    </row>
    <row r="1462" spans="1:6" x14ac:dyDescent="0.25">
      <c r="A1462">
        <v>2017</v>
      </c>
      <c r="B1462" t="s">
        <v>55</v>
      </c>
      <c r="C1462" t="s">
        <v>21</v>
      </c>
      <c r="D1462" s="1">
        <v>2992</v>
      </c>
      <c r="E1462" s="1">
        <v>27804</v>
      </c>
      <c r="F1462" s="2">
        <v>47599</v>
      </c>
    </row>
    <row r="1463" spans="1:6" x14ac:dyDescent="0.25">
      <c r="A1463">
        <v>2017</v>
      </c>
      <c r="B1463" t="s">
        <v>55</v>
      </c>
      <c r="C1463" t="s">
        <v>22</v>
      </c>
      <c r="D1463" s="1">
        <v>2168</v>
      </c>
      <c r="E1463" s="1">
        <v>16360</v>
      </c>
      <c r="F1463" s="2">
        <v>45681</v>
      </c>
    </row>
    <row r="1464" spans="1:6" x14ac:dyDescent="0.25">
      <c r="A1464">
        <v>2017</v>
      </c>
      <c r="B1464" t="s">
        <v>55</v>
      </c>
      <c r="C1464" t="s">
        <v>23</v>
      </c>
      <c r="D1464" s="1">
        <v>1950</v>
      </c>
      <c r="E1464" s="1">
        <v>16365</v>
      </c>
      <c r="F1464" s="2">
        <v>42894</v>
      </c>
    </row>
    <row r="1465" spans="1:6" x14ac:dyDescent="0.25">
      <c r="A1465">
        <v>2017</v>
      </c>
      <c r="B1465" t="s">
        <v>55</v>
      </c>
      <c r="C1465" t="s">
        <v>24</v>
      </c>
      <c r="D1465" s="1">
        <v>1753</v>
      </c>
      <c r="E1465" s="1">
        <v>11976</v>
      </c>
      <c r="F1465" s="2">
        <v>64781</v>
      </c>
    </row>
    <row r="1466" spans="1:6" x14ac:dyDescent="0.25">
      <c r="A1466">
        <v>2017</v>
      </c>
      <c r="B1466" t="s">
        <v>55</v>
      </c>
      <c r="C1466" t="s">
        <v>25</v>
      </c>
      <c r="D1466" s="1">
        <v>2337</v>
      </c>
      <c r="E1466" s="1">
        <v>15500</v>
      </c>
      <c r="F1466" s="2">
        <v>39544</v>
      </c>
    </row>
    <row r="1467" spans="1:6" x14ac:dyDescent="0.25">
      <c r="A1467">
        <v>2017</v>
      </c>
      <c r="B1467" t="s">
        <v>55</v>
      </c>
      <c r="C1467" t="s">
        <v>26</v>
      </c>
      <c r="D1467">
        <v>612</v>
      </c>
      <c r="E1467" s="1">
        <v>17902</v>
      </c>
      <c r="F1467" s="2">
        <v>82999</v>
      </c>
    </row>
    <row r="1468" spans="1:6" x14ac:dyDescent="0.25">
      <c r="A1468">
        <v>2017</v>
      </c>
      <c r="B1468" t="s">
        <v>55</v>
      </c>
      <c r="C1468" t="s">
        <v>27</v>
      </c>
      <c r="D1468">
        <v>350</v>
      </c>
      <c r="E1468" s="1">
        <v>2556</v>
      </c>
      <c r="F1468" s="2">
        <v>41972</v>
      </c>
    </row>
    <row r="1469" spans="1:6" x14ac:dyDescent="0.25">
      <c r="A1469">
        <v>2017</v>
      </c>
      <c r="B1469" t="s">
        <v>55</v>
      </c>
      <c r="C1469" t="s">
        <v>28</v>
      </c>
      <c r="D1469" s="1">
        <v>1018</v>
      </c>
      <c r="E1469" s="1">
        <v>12853</v>
      </c>
      <c r="F1469" s="2">
        <v>37279</v>
      </c>
    </row>
    <row r="1470" spans="1:6" x14ac:dyDescent="0.25">
      <c r="A1470">
        <v>2017</v>
      </c>
      <c r="B1470" t="s">
        <v>55</v>
      </c>
      <c r="C1470" t="s">
        <v>29</v>
      </c>
      <c r="D1470" s="1">
        <v>1991</v>
      </c>
      <c r="E1470" s="1">
        <v>32275</v>
      </c>
      <c r="F1470" s="2">
        <v>59989</v>
      </c>
    </row>
    <row r="1471" spans="1:6" x14ac:dyDescent="0.25">
      <c r="A1471">
        <v>2017</v>
      </c>
      <c r="B1471" t="s">
        <v>55</v>
      </c>
      <c r="C1471" t="s">
        <v>30</v>
      </c>
      <c r="D1471" s="1">
        <v>3023</v>
      </c>
      <c r="E1471" s="1">
        <v>30834</v>
      </c>
      <c r="F1471" s="2">
        <v>39487</v>
      </c>
    </row>
    <row r="1472" spans="1:6" x14ac:dyDescent="0.25">
      <c r="A1472">
        <v>2017</v>
      </c>
      <c r="B1472" t="s">
        <v>55</v>
      </c>
      <c r="C1472" t="s">
        <v>31</v>
      </c>
      <c r="D1472" s="1">
        <v>3306</v>
      </c>
      <c r="E1472" s="1">
        <v>30981</v>
      </c>
      <c r="F1472" s="2">
        <v>37636</v>
      </c>
    </row>
    <row r="1473" spans="1:6" x14ac:dyDescent="0.25">
      <c r="A1473">
        <v>2017</v>
      </c>
      <c r="B1473" t="s">
        <v>55</v>
      </c>
      <c r="C1473" t="s">
        <v>32</v>
      </c>
      <c r="D1473" s="1">
        <v>1771</v>
      </c>
      <c r="E1473" s="1">
        <v>22394</v>
      </c>
      <c r="F1473" s="2">
        <v>89578</v>
      </c>
    </row>
    <row r="1474" spans="1:6" x14ac:dyDescent="0.25">
      <c r="A1474">
        <v>2017</v>
      </c>
      <c r="B1474" t="s">
        <v>55</v>
      </c>
      <c r="C1474" t="s">
        <v>33</v>
      </c>
      <c r="D1474" s="1">
        <v>2483</v>
      </c>
      <c r="E1474" s="1">
        <v>27504</v>
      </c>
      <c r="F1474" s="2">
        <v>48849</v>
      </c>
    </row>
    <row r="1475" spans="1:6" x14ac:dyDescent="0.25">
      <c r="A1475">
        <v>2017</v>
      </c>
      <c r="B1475" t="s">
        <v>55</v>
      </c>
      <c r="C1475" t="s">
        <v>34</v>
      </c>
      <c r="D1475" s="1">
        <v>4333</v>
      </c>
      <c r="E1475" s="1">
        <v>58716</v>
      </c>
      <c r="F1475" s="2">
        <v>88899</v>
      </c>
    </row>
    <row r="1476" spans="1:6" x14ac:dyDescent="0.25">
      <c r="A1476">
        <v>2017</v>
      </c>
      <c r="B1476" t="s">
        <v>55</v>
      </c>
      <c r="C1476" t="s">
        <v>35</v>
      </c>
      <c r="D1476" s="1">
        <v>4453</v>
      </c>
      <c r="E1476" s="1">
        <v>52439</v>
      </c>
      <c r="F1476" s="2">
        <v>35362</v>
      </c>
    </row>
    <row r="1477" spans="1:6" x14ac:dyDescent="0.25">
      <c r="A1477">
        <v>2017</v>
      </c>
      <c r="B1477" t="s">
        <v>55</v>
      </c>
      <c r="C1477" t="s">
        <v>36</v>
      </c>
      <c r="D1477" s="1">
        <v>3498</v>
      </c>
      <c r="E1477" s="1">
        <v>50197</v>
      </c>
      <c r="F1477" s="2">
        <v>63021</v>
      </c>
    </row>
    <row r="1478" spans="1:6" x14ac:dyDescent="0.25">
      <c r="A1478">
        <v>2017</v>
      </c>
      <c r="B1478" t="s">
        <v>55</v>
      </c>
      <c r="C1478" t="s">
        <v>38</v>
      </c>
      <c r="D1478" s="1">
        <v>1230</v>
      </c>
      <c r="E1478" s="1">
        <v>12432</v>
      </c>
      <c r="F1478" s="2">
        <v>40520</v>
      </c>
    </row>
    <row r="1479" spans="1:6" x14ac:dyDescent="0.25">
      <c r="A1479">
        <v>2017</v>
      </c>
      <c r="B1479" t="s">
        <v>55</v>
      </c>
      <c r="C1479" t="s">
        <v>39</v>
      </c>
      <c r="D1479" s="1">
        <v>1026</v>
      </c>
      <c r="E1479" s="1">
        <v>6646</v>
      </c>
      <c r="F1479" s="2">
        <v>41459</v>
      </c>
    </row>
    <row r="1480" spans="1:6" x14ac:dyDescent="0.25">
      <c r="A1480">
        <v>2017</v>
      </c>
      <c r="B1480" t="s">
        <v>55</v>
      </c>
      <c r="C1480" t="s">
        <v>40</v>
      </c>
      <c r="D1480" s="1">
        <v>1071</v>
      </c>
      <c r="E1480" s="1">
        <v>10750</v>
      </c>
      <c r="F1480" s="2">
        <v>43908</v>
      </c>
    </row>
    <row r="1481" spans="1:6" x14ac:dyDescent="0.25">
      <c r="A1481">
        <v>2017</v>
      </c>
      <c r="B1481" t="s">
        <v>55</v>
      </c>
      <c r="C1481" t="s">
        <v>41</v>
      </c>
      <c r="D1481" s="1">
        <v>19580</v>
      </c>
      <c r="E1481" s="1">
        <v>281110</v>
      </c>
      <c r="F1481" s="2">
        <v>107415</v>
      </c>
    </row>
    <row r="1482" spans="1:6" x14ac:dyDescent="0.25">
      <c r="A1482">
        <v>2017</v>
      </c>
      <c r="B1482" t="s">
        <v>55</v>
      </c>
      <c r="C1482" t="s">
        <v>42</v>
      </c>
      <c r="D1482" s="1">
        <v>1034</v>
      </c>
      <c r="E1482" s="1">
        <v>14217</v>
      </c>
      <c r="F1482" s="2">
        <v>59120</v>
      </c>
    </row>
    <row r="1483" spans="1:6" x14ac:dyDescent="0.25">
      <c r="A1483">
        <v>2017</v>
      </c>
      <c r="B1483" t="s">
        <v>55</v>
      </c>
      <c r="C1483" t="s">
        <v>43</v>
      </c>
      <c r="D1483">
        <v>551</v>
      </c>
      <c r="E1483" s="1">
        <v>3901</v>
      </c>
      <c r="F1483" s="2">
        <v>37223</v>
      </c>
    </row>
    <row r="1484" spans="1:6" x14ac:dyDescent="0.25">
      <c r="A1484">
        <v>2017</v>
      </c>
      <c r="B1484" t="s">
        <v>55</v>
      </c>
      <c r="C1484" t="s">
        <v>44</v>
      </c>
      <c r="D1484" s="1">
        <v>2061</v>
      </c>
      <c r="E1484" s="1">
        <v>19558</v>
      </c>
      <c r="F1484" s="2">
        <v>44371</v>
      </c>
    </row>
    <row r="1485" spans="1:6" x14ac:dyDescent="0.25">
      <c r="A1485">
        <v>2017</v>
      </c>
      <c r="B1485" t="s">
        <v>55</v>
      </c>
      <c r="C1485" t="s">
        <v>45</v>
      </c>
      <c r="D1485" s="1">
        <v>7493</v>
      </c>
      <c r="E1485" s="1">
        <v>107674</v>
      </c>
      <c r="F1485" s="2">
        <v>32082</v>
      </c>
    </row>
    <row r="1486" spans="1:6" x14ac:dyDescent="0.25">
      <c r="A1486">
        <v>2017</v>
      </c>
      <c r="B1486" t="s">
        <v>55</v>
      </c>
      <c r="C1486" t="s">
        <v>46</v>
      </c>
      <c r="D1486" s="1">
        <v>1221</v>
      </c>
      <c r="E1486" s="1">
        <v>22793</v>
      </c>
      <c r="F1486" s="2">
        <v>76848</v>
      </c>
    </row>
    <row r="1487" spans="1:6" x14ac:dyDescent="0.25">
      <c r="A1487">
        <v>2017</v>
      </c>
      <c r="B1487" t="s">
        <v>55</v>
      </c>
      <c r="C1487" t="s">
        <v>47</v>
      </c>
      <c r="D1487" s="1">
        <v>2865</v>
      </c>
      <c r="E1487" s="1">
        <v>31986</v>
      </c>
      <c r="F1487" s="2">
        <v>37981</v>
      </c>
    </row>
    <row r="1488" spans="1:6" x14ac:dyDescent="0.25">
      <c r="A1488">
        <v>2017</v>
      </c>
      <c r="B1488" t="s">
        <v>55</v>
      </c>
      <c r="C1488" t="s">
        <v>48</v>
      </c>
      <c r="D1488" s="1">
        <v>1442</v>
      </c>
      <c r="E1488" s="1">
        <v>22390</v>
      </c>
      <c r="F1488" s="2">
        <v>81163</v>
      </c>
    </row>
    <row r="1489" spans="1:6" x14ac:dyDescent="0.25">
      <c r="A1489">
        <v>2017</v>
      </c>
      <c r="B1489" t="s">
        <v>51</v>
      </c>
      <c r="C1489" t="s">
        <v>1</v>
      </c>
      <c r="D1489" s="1">
        <v>9645</v>
      </c>
      <c r="E1489" s="1">
        <v>85262</v>
      </c>
      <c r="F1489" s="2">
        <v>52230</v>
      </c>
    </row>
    <row r="1490" spans="1:6" x14ac:dyDescent="0.25">
      <c r="A1490">
        <v>2017</v>
      </c>
      <c r="B1490" t="s">
        <v>51</v>
      </c>
      <c r="C1490" t="s">
        <v>2</v>
      </c>
      <c r="D1490" s="1">
        <v>11368</v>
      </c>
      <c r="E1490" s="1">
        <v>144747</v>
      </c>
      <c r="F1490" s="2">
        <v>53440</v>
      </c>
    </row>
    <row r="1491" spans="1:6" x14ac:dyDescent="0.25">
      <c r="A1491">
        <v>2017</v>
      </c>
      <c r="B1491" t="s">
        <v>51</v>
      </c>
      <c r="C1491" t="s">
        <v>3</v>
      </c>
      <c r="D1491" s="1">
        <v>6817</v>
      </c>
      <c r="E1491" s="1">
        <v>51130</v>
      </c>
      <c r="F1491" s="2">
        <v>47283</v>
      </c>
    </row>
    <row r="1492" spans="1:6" x14ac:dyDescent="0.25">
      <c r="A1492">
        <v>2017</v>
      </c>
      <c r="B1492" t="s">
        <v>51</v>
      </c>
      <c r="C1492" t="s">
        <v>4</v>
      </c>
      <c r="D1492" s="1">
        <v>72972</v>
      </c>
      <c r="E1492" s="1">
        <v>805942</v>
      </c>
      <c r="F1492" s="2">
        <v>67561</v>
      </c>
    </row>
    <row r="1493" spans="1:6" x14ac:dyDescent="0.25">
      <c r="A1493">
        <v>2017</v>
      </c>
      <c r="B1493" t="s">
        <v>51</v>
      </c>
      <c r="C1493" t="s">
        <v>5</v>
      </c>
      <c r="D1493" s="1">
        <v>19243</v>
      </c>
      <c r="E1493" s="1">
        <v>163473</v>
      </c>
      <c r="F1493" s="2">
        <v>59444</v>
      </c>
    </row>
    <row r="1494" spans="1:6" x14ac:dyDescent="0.25">
      <c r="A1494">
        <v>2017</v>
      </c>
      <c r="B1494" t="s">
        <v>51</v>
      </c>
      <c r="C1494" t="s">
        <v>6</v>
      </c>
      <c r="D1494" s="1">
        <v>9351</v>
      </c>
      <c r="E1494" s="1">
        <v>58327</v>
      </c>
      <c r="F1494" s="2">
        <v>68641</v>
      </c>
    </row>
    <row r="1495" spans="1:6" x14ac:dyDescent="0.25">
      <c r="A1495">
        <v>2017</v>
      </c>
      <c r="B1495" t="s">
        <v>51</v>
      </c>
      <c r="C1495" t="s">
        <v>7</v>
      </c>
      <c r="D1495" s="1">
        <v>2777</v>
      </c>
      <c r="E1495" s="1">
        <v>21591</v>
      </c>
      <c r="F1495" s="2">
        <v>59040</v>
      </c>
    </row>
    <row r="1496" spans="1:6" x14ac:dyDescent="0.25">
      <c r="A1496">
        <v>2017</v>
      </c>
      <c r="B1496" t="s">
        <v>51</v>
      </c>
      <c r="C1496" t="s">
        <v>8</v>
      </c>
      <c r="D1496" s="1">
        <v>67384</v>
      </c>
      <c r="E1496" s="1">
        <v>503704</v>
      </c>
      <c r="F1496" s="2">
        <v>49256</v>
      </c>
    </row>
    <row r="1497" spans="1:6" x14ac:dyDescent="0.25">
      <c r="A1497">
        <v>2017</v>
      </c>
      <c r="B1497" t="s">
        <v>51</v>
      </c>
      <c r="C1497" t="s">
        <v>9</v>
      </c>
      <c r="D1497" s="1">
        <v>20135</v>
      </c>
      <c r="E1497" s="1">
        <v>182259</v>
      </c>
      <c r="F1497" s="2">
        <v>58213</v>
      </c>
    </row>
    <row r="1498" spans="1:6" x14ac:dyDescent="0.25">
      <c r="A1498">
        <v>2017</v>
      </c>
      <c r="B1498" t="s">
        <v>51</v>
      </c>
      <c r="C1498" t="s">
        <v>10</v>
      </c>
      <c r="D1498" s="1">
        <v>7660</v>
      </c>
      <c r="E1498" s="1">
        <v>42668</v>
      </c>
      <c r="F1498" s="2">
        <v>42865</v>
      </c>
    </row>
    <row r="1499" spans="1:6" x14ac:dyDescent="0.25">
      <c r="A1499">
        <v>2017</v>
      </c>
      <c r="B1499" t="s">
        <v>51</v>
      </c>
      <c r="C1499" t="s">
        <v>11</v>
      </c>
      <c r="D1499" s="1">
        <v>31422</v>
      </c>
      <c r="E1499" s="1">
        <v>220019</v>
      </c>
      <c r="F1499" s="2">
        <v>70893</v>
      </c>
    </row>
    <row r="1500" spans="1:6" x14ac:dyDescent="0.25">
      <c r="A1500">
        <v>2017</v>
      </c>
      <c r="B1500" t="s">
        <v>51</v>
      </c>
      <c r="C1500" t="s">
        <v>12</v>
      </c>
      <c r="D1500" s="1">
        <v>14839</v>
      </c>
      <c r="E1500" s="1">
        <v>138040</v>
      </c>
      <c r="F1500" s="2">
        <v>57099</v>
      </c>
    </row>
    <row r="1501" spans="1:6" x14ac:dyDescent="0.25">
      <c r="A1501">
        <v>2017</v>
      </c>
      <c r="B1501" t="s">
        <v>51</v>
      </c>
      <c r="C1501" t="s">
        <v>13</v>
      </c>
      <c r="D1501" s="1">
        <v>9417</v>
      </c>
      <c r="E1501" s="1">
        <v>76086</v>
      </c>
      <c r="F1501" s="2">
        <v>55415</v>
      </c>
    </row>
    <row r="1502" spans="1:6" x14ac:dyDescent="0.25">
      <c r="A1502">
        <v>2017</v>
      </c>
      <c r="B1502" t="s">
        <v>51</v>
      </c>
      <c r="C1502" t="s">
        <v>14</v>
      </c>
      <c r="D1502" s="1">
        <v>7584</v>
      </c>
      <c r="E1502" s="1">
        <v>60238</v>
      </c>
      <c r="F1502" s="2">
        <v>52807</v>
      </c>
    </row>
    <row r="1503" spans="1:6" x14ac:dyDescent="0.25">
      <c r="A1503">
        <v>2017</v>
      </c>
      <c r="B1503" t="s">
        <v>51</v>
      </c>
      <c r="C1503" t="s">
        <v>15</v>
      </c>
      <c r="D1503" s="1">
        <v>9339</v>
      </c>
      <c r="E1503" s="1">
        <v>77332</v>
      </c>
      <c r="F1503" s="2">
        <v>53194</v>
      </c>
    </row>
    <row r="1504" spans="1:6" x14ac:dyDescent="0.25">
      <c r="A1504">
        <v>2017</v>
      </c>
      <c r="B1504" t="s">
        <v>51</v>
      </c>
      <c r="C1504" t="s">
        <v>16</v>
      </c>
      <c r="D1504" s="1">
        <v>10825</v>
      </c>
      <c r="E1504" s="1">
        <v>147021</v>
      </c>
      <c r="F1504" s="2">
        <v>61781</v>
      </c>
    </row>
    <row r="1505" spans="1:6" x14ac:dyDescent="0.25">
      <c r="A1505">
        <v>2017</v>
      </c>
      <c r="B1505" t="s">
        <v>51</v>
      </c>
      <c r="C1505" t="s">
        <v>17</v>
      </c>
      <c r="D1505" s="1">
        <v>5502</v>
      </c>
      <c r="E1505" s="1">
        <v>28253</v>
      </c>
      <c r="F1505" s="2">
        <v>47930</v>
      </c>
    </row>
    <row r="1506" spans="1:6" x14ac:dyDescent="0.25">
      <c r="A1506">
        <v>2017</v>
      </c>
      <c r="B1506" t="s">
        <v>51</v>
      </c>
      <c r="C1506" t="s">
        <v>18</v>
      </c>
      <c r="D1506" s="1">
        <v>16463</v>
      </c>
      <c r="E1506" s="1">
        <v>162140</v>
      </c>
      <c r="F1506" s="2">
        <v>65027</v>
      </c>
    </row>
    <row r="1507" spans="1:6" x14ac:dyDescent="0.25">
      <c r="A1507">
        <v>2017</v>
      </c>
      <c r="B1507" t="s">
        <v>51</v>
      </c>
      <c r="C1507" t="s">
        <v>19</v>
      </c>
      <c r="D1507" s="1">
        <v>21055</v>
      </c>
      <c r="E1507" s="1">
        <v>152131</v>
      </c>
      <c r="F1507" s="2">
        <v>75405</v>
      </c>
    </row>
    <row r="1508" spans="1:6" x14ac:dyDescent="0.25">
      <c r="A1508">
        <v>2017</v>
      </c>
      <c r="B1508" t="s">
        <v>51</v>
      </c>
      <c r="C1508" t="s">
        <v>20</v>
      </c>
      <c r="D1508" s="1">
        <v>19544</v>
      </c>
      <c r="E1508" s="1">
        <v>161903</v>
      </c>
      <c r="F1508" s="2">
        <v>61511</v>
      </c>
    </row>
    <row r="1509" spans="1:6" x14ac:dyDescent="0.25">
      <c r="A1509">
        <v>2017</v>
      </c>
      <c r="B1509" t="s">
        <v>51</v>
      </c>
      <c r="C1509" t="s">
        <v>21</v>
      </c>
      <c r="D1509" s="1">
        <v>15746</v>
      </c>
      <c r="E1509" s="1">
        <v>119642</v>
      </c>
      <c r="F1509" s="2">
        <v>65464</v>
      </c>
    </row>
    <row r="1510" spans="1:6" x14ac:dyDescent="0.25">
      <c r="A1510">
        <v>2017</v>
      </c>
      <c r="B1510" t="s">
        <v>51</v>
      </c>
      <c r="C1510" t="s">
        <v>22</v>
      </c>
      <c r="D1510" s="1">
        <v>5670</v>
      </c>
      <c r="E1510" s="1">
        <v>43467</v>
      </c>
      <c r="F1510" s="2">
        <v>48782</v>
      </c>
    </row>
    <row r="1511" spans="1:6" x14ac:dyDescent="0.25">
      <c r="A1511">
        <v>2017</v>
      </c>
      <c r="B1511" t="s">
        <v>51</v>
      </c>
      <c r="C1511" t="s">
        <v>23</v>
      </c>
      <c r="D1511" s="1">
        <v>15141</v>
      </c>
      <c r="E1511" s="1">
        <v>123034</v>
      </c>
      <c r="F1511" s="2">
        <v>57823</v>
      </c>
    </row>
    <row r="1512" spans="1:6" x14ac:dyDescent="0.25">
      <c r="A1512">
        <v>2017</v>
      </c>
      <c r="B1512" t="s">
        <v>51</v>
      </c>
      <c r="C1512" t="s">
        <v>24</v>
      </c>
      <c r="D1512" s="1">
        <v>6287</v>
      </c>
      <c r="E1512" s="1">
        <v>27712</v>
      </c>
      <c r="F1512" s="2">
        <v>50369</v>
      </c>
    </row>
    <row r="1513" spans="1:6" x14ac:dyDescent="0.25">
      <c r="A1513">
        <v>2017</v>
      </c>
      <c r="B1513" t="s">
        <v>51</v>
      </c>
      <c r="C1513" t="s">
        <v>25</v>
      </c>
      <c r="D1513" s="1">
        <v>7053</v>
      </c>
      <c r="E1513" s="1">
        <v>51174</v>
      </c>
      <c r="F1513" s="2">
        <v>49634</v>
      </c>
    </row>
    <row r="1514" spans="1:6" x14ac:dyDescent="0.25">
      <c r="A1514">
        <v>2017</v>
      </c>
      <c r="B1514" t="s">
        <v>51</v>
      </c>
      <c r="C1514" t="s">
        <v>26</v>
      </c>
      <c r="D1514" s="1">
        <v>5859</v>
      </c>
      <c r="E1514" s="1">
        <v>82998</v>
      </c>
      <c r="F1514" s="2">
        <v>58071</v>
      </c>
    </row>
    <row r="1515" spans="1:6" x14ac:dyDescent="0.25">
      <c r="A1515">
        <v>2017</v>
      </c>
      <c r="B1515" t="s">
        <v>51</v>
      </c>
      <c r="C1515" t="s">
        <v>27</v>
      </c>
      <c r="D1515" s="1">
        <v>4363</v>
      </c>
      <c r="E1515" s="1">
        <v>26466</v>
      </c>
      <c r="F1515" s="2">
        <v>61497</v>
      </c>
    </row>
    <row r="1516" spans="1:6" x14ac:dyDescent="0.25">
      <c r="A1516">
        <v>2017</v>
      </c>
      <c r="B1516" t="s">
        <v>51</v>
      </c>
      <c r="C1516" t="s">
        <v>28</v>
      </c>
      <c r="D1516" s="1">
        <v>21672</v>
      </c>
      <c r="E1516" s="1">
        <v>154907</v>
      </c>
      <c r="F1516" s="2">
        <v>71145</v>
      </c>
    </row>
    <row r="1517" spans="1:6" x14ac:dyDescent="0.25">
      <c r="A1517">
        <v>2017</v>
      </c>
      <c r="B1517" t="s">
        <v>51</v>
      </c>
      <c r="C1517" t="s">
        <v>29</v>
      </c>
      <c r="D1517" s="1">
        <v>5141</v>
      </c>
      <c r="E1517" s="1">
        <v>45511</v>
      </c>
      <c r="F1517" s="2">
        <v>46369</v>
      </c>
    </row>
    <row r="1518" spans="1:6" x14ac:dyDescent="0.25">
      <c r="A1518">
        <v>2017</v>
      </c>
      <c r="B1518" t="s">
        <v>51</v>
      </c>
      <c r="C1518" t="s">
        <v>30</v>
      </c>
      <c r="D1518" s="1">
        <v>50064</v>
      </c>
      <c r="E1518" s="1">
        <v>386615</v>
      </c>
      <c r="F1518" s="2">
        <v>71408</v>
      </c>
    </row>
    <row r="1519" spans="1:6" x14ac:dyDescent="0.25">
      <c r="A1519">
        <v>2017</v>
      </c>
      <c r="B1519" t="s">
        <v>51</v>
      </c>
      <c r="C1519" t="s">
        <v>31</v>
      </c>
      <c r="D1519" s="1">
        <v>26057</v>
      </c>
      <c r="E1519" s="1">
        <v>208662</v>
      </c>
      <c r="F1519" s="2">
        <v>52372</v>
      </c>
    </row>
    <row r="1520" spans="1:6" x14ac:dyDescent="0.25">
      <c r="A1520">
        <v>2017</v>
      </c>
      <c r="B1520" t="s">
        <v>51</v>
      </c>
      <c r="C1520" t="s">
        <v>32</v>
      </c>
      <c r="D1520" s="1">
        <v>4035</v>
      </c>
      <c r="E1520" s="1">
        <v>26732</v>
      </c>
      <c r="F1520" s="2">
        <v>63029</v>
      </c>
    </row>
    <row r="1521" spans="1:6" x14ac:dyDescent="0.25">
      <c r="A1521">
        <v>2017</v>
      </c>
      <c r="B1521" t="s">
        <v>51</v>
      </c>
      <c r="C1521" t="s">
        <v>33</v>
      </c>
      <c r="D1521" s="1">
        <v>23022</v>
      </c>
      <c r="E1521" s="1">
        <v>217025</v>
      </c>
      <c r="F1521" s="2">
        <v>60831</v>
      </c>
    </row>
    <row r="1522" spans="1:6" x14ac:dyDescent="0.25">
      <c r="A1522">
        <v>2017</v>
      </c>
      <c r="B1522" t="s">
        <v>51</v>
      </c>
      <c r="C1522" t="s">
        <v>34</v>
      </c>
      <c r="D1522" s="1">
        <v>9823</v>
      </c>
      <c r="E1522" s="1">
        <v>77247</v>
      </c>
      <c r="F1522" s="2">
        <v>50585</v>
      </c>
    </row>
    <row r="1523" spans="1:6" x14ac:dyDescent="0.25">
      <c r="A1523">
        <v>2017</v>
      </c>
      <c r="B1523" t="s">
        <v>51</v>
      </c>
      <c r="C1523" t="s">
        <v>35</v>
      </c>
      <c r="D1523" s="1">
        <v>13468</v>
      </c>
      <c r="E1523" s="1">
        <v>96991</v>
      </c>
      <c r="F1523" s="2">
        <v>57987</v>
      </c>
    </row>
    <row r="1524" spans="1:6" x14ac:dyDescent="0.25">
      <c r="A1524">
        <v>2017</v>
      </c>
      <c r="B1524" t="s">
        <v>51</v>
      </c>
      <c r="C1524" t="s">
        <v>36</v>
      </c>
      <c r="D1524" s="1">
        <v>28397</v>
      </c>
      <c r="E1524" s="1">
        <v>248932</v>
      </c>
      <c r="F1524" s="2">
        <v>64769</v>
      </c>
    </row>
    <row r="1525" spans="1:6" x14ac:dyDescent="0.25">
      <c r="A1525">
        <v>2017</v>
      </c>
      <c r="B1525" t="s">
        <v>51</v>
      </c>
      <c r="C1525" t="s">
        <v>38</v>
      </c>
      <c r="D1525" s="1">
        <v>11635</v>
      </c>
      <c r="E1525" s="1">
        <v>100817</v>
      </c>
      <c r="F1525" s="2">
        <v>53542</v>
      </c>
    </row>
    <row r="1526" spans="1:6" x14ac:dyDescent="0.25">
      <c r="A1526">
        <v>2017</v>
      </c>
      <c r="B1526" t="s">
        <v>51</v>
      </c>
      <c r="C1526" t="s">
        <v>39</v>
      </c>
      <c r="D1526" s="1">
        <v>3883</v>
      </c>
      <c r="E1526" s="1">
        <v>22351</v>
      </c>
      <c r="F1526" s="2">
        <v>47385</v>
      </c>
    </row>
    <row r="1527" spans="1:6" x14ac:dyDescent="0.25">
      <c r="A1527">
        <v>2017</v>
      </c>
      <c r="B1527" t="s">
        <v>51</v>
      </c>
      <c r="C1527" t="s">
        <v>40</v>
      </c>
      <c r="D1527" s="1">
        <v>11745</v>
      </c>
      <c r="E1527" s="1">
        <v>119968</v>
      </c>
      <c r="F1527" s="2">
        <v>56642</v>
      </c>
    </row>
    <row r="1528" spans="1:6" x14ac:dyDescent="0.25">
      <c r="A1528">
        <v>2017</v>
      </c>
      <c r="B1528" t="s">
        <v>51</v>
      </c>
      <c r="C1528" t="s">
        <v>41</v>
      </c>
      <c r="D1528" s="1">
        <v>49310</v>
      </c>
      <c r="E1528" s="1">
        <v>711119</v>
      </c>
      <c r="F1528" s="2">
        <v>63219</v>
      </c>
    </row>
    <row r="1529" spans="1:6" x14ac:dyDescent="0.25">
      <c r="A1529">
        <v>2017</v>
      </c>
      <c r="B1529" t="s">
        <v>51</v>
      </c>
      <c r="C1529" t="s">
        <v>42</v>
      </c>
      <c r="D1529" s="1">
        <v>10886</v>
      </c>
      <c r="E1529" s="1">
        <v>97495</v>
      </c>
      <c r="F1529" s="2">
        <v>49132</v>
      </c>
    </row>
    <row r="1530" spans="1:6" x14ac:dyDescent="0.25">
      <c r="A1530">
        <v>2017</v>
      </c>
      <c r="B1530" t="s">
        <v>51</v>
      </c>
      <c r="C1530" t="s">
        <v>43</v>
      </c>
      <c r="D1530" s="1">
        <v>2865</v>
      </c>
      <c r="E1530" s="1">
        <v>15187</v>
      </c>
      <c r="F1530" s="2">
        <v>50125</v>
      </c>
    </row>
    <row r="1531" spans="1:6" x14ac:dyDescent="0.25">
      <c r="A1531">
        <v>2017</v>
      </c>
      <c r="B1531" t="s">
        <v>51</v>
      </c>
      <c r="C1531" t="s">
        <v>44</v>
      </c>
      <c r="D1531" s="1">
        <v>21256</v>
      </c>
      <c r="E1531" s="1">
        <v>192576</v>
      </c>
      <c r="F1531" s="2">
        <v>56166</v>
      </c>
    </row>
    <row r="1532" spans="1:6" x14ac:dyDescent="0.25">
      <c r="A1532">
        <v>2017</v>
      </c>
      <c r="B1532" t="s">
        <v>51</v>
      </c>
      <c r="C1532" t="s">
        <v>45</v>
      </c>
      <c r="D1532" s="1">
        <v>25279</v>
      </c>
      <c r="E1532" s="1">
        <v>187247</v>
      </c>
      <c r="F1532" s="2">
        <v>61249</v>
      </c>
    </row>
    <row r="1533" spans="1:6" x14ac:dyDescent="0.25">
      <c r="A1533">
        <v>2017</v>
      </c>
      <c r="B1533" t="s">
        <v>51</v>
      </c>
      <c r="C1533" t="s">
        <v>46</v>
      </c>
      <c r="D1533" s="1">
        <v>4402</v>
      </c>
      <c r="E1533" s="1">
        <v>31522</v>
      </c>
      <c r="F1533" s="2">
        <v>57987</v>
      </c>
    </row>
    <row r="1534" spans="1:6" x14ac:dyDescent="0.25">
      <c r="A1534">
        <v>2017</v>
      </c>
      <c r="B1534" t="s">
        <v>51</v>
      </c>
      <c r="C1534" t="s">
        <v>47</v>
      </c>
      <c r="D1534" s="1">
        <v>14158</v>
      </c>
      <c r="E1534" s="1">
        <v>117226</v>
      </c>
      <c r="F1534" s="2">
        <v>60136</v>
      </c>
    </row>
    <row r="1535" spans="1:6" x14ac:dyDescent="0.25">
      <c r="A1535">
        <v>2017</v>
      </c>
      <c r="B1535" t="s">
        <v>51</v>
      </c>
      <c r="C1535" t="s">
        <v>48</v>
      </c>
      <c r="D1535" s="1">
        <v>3427</v>
      </c>
      <c r="E1535" s="1">
        <v>19573</v>
      </c>
      <c r="F1535" s="2">
        <v>50877</v>
      </c>
    </row>
    <row r="1536" spans="1:6" x14ac:dyDescent="0.25">
      <c r="A1536">
        <v>2017</v>
      </c>
      <c r="B1536" t="s">
        <v>52</v>
      </c>
      <c r="C1536" t="s">
        <v>1</v>
      </c>
      <c r="D1536" s="1">
        <v>5447</v>
      </c>
      <c r="E1536" s="1">
        <v>263487</v>
      </c>
      <c r="F1536" s="2">
        <v>55197</v>
      </c>
    </row>
    <row r="1537" spans="1:6" x14ac:dyDescent="0.25">
      <c r="A1537">
        <v>2017</v>
      </c>
      <c r="B1537" t="s">
        <v>52</v>
      </c>
      <c r="C1537" t="s">
        <v>2</v>
      </c>
      <c r="D1537" s="1">
        <v>4657</v>
      </c>
      <c r="E1537" s="1">
        <v>162399</v>
      </c>
      <c r="F1537" s="2">
        <v>73528</v>
      </c>
    </row>
    <row r="1538" spans="1:6" x14ac:dyDescent="0.25">
      <c r="A1538">
        <v>2017</v>
      </c>
      <c r="B1538" t="s">
        <v>52</v>
      </c>
      <c r="C1538" t="s">
        <v>3</v>
      </c>
      <c r="D1538" s="1">
        <v>2928</v>
      </c>
      <c r="E1538" s="1">
        <v>157305</v>
      </c>
      <c r="F1538" s="2">
        <v>46766</v>
      </c>
    </row>
    <row r="1539" spans="1:6" x14ac:dyDescent="0.25">
      <c r="A1539">
        <v>2017</v>
      </c>
      <c r="B1539" t="s">
        <v>52</v>
      </c>
      <c r="C1539" t="s">
        <v>4</v>
      </c>
      <c r="D1539" s="1">
        <v>42215</v>
      </c>
      <c r="E1539" s="1">
        <v>1303550</v>
      </c>
      <c r="F1539" s="2">
        <v>92246</v>
      </c>
    </row>
    <row r="1540" spans="1:6" x14ac:dyDescent="0.25">
      <c r="A1540">
        <v>2017</v>
      </c>
      <c r="B1540" t="s">
        <v>52</v>
      </c>
      <c r="C1540" t="s">
        <v>5</v>
      </c>
      <c r="D1540" s="1">
        <v>5750</v>
      </c>
      <c r="E1540" s="1">
        <v>144067</v>
      </c>
      <c r="F1540" s="2">
        <v>69446</v>
      </c>
    </row>
    <row r="1541" spans="1:6" x14ac:dyDescent="0.25">
      <c r="A1541">
        <v>2017</v>
      </c>
      <c r="B1541" t="s">
        <v>52</v>
      </c>
      <c r="C1541" t="s">
        <v>6</v>
      </c>
      <c r="D1541" s="1">
        <v>4460</v>
      </c>
      <c r="E1541" s="1">
        <v>158891</v>
      </c>
      <c r="F1541" s="2">
        <v>81864</v>
      </c>
    </row>
    <row r="1542" spans="1:6" x14ac:dyDescent="0.25">
      <c r="A1542">
        <v>2017</v>
      </c>
      <c r="B1542" t="s">
        <v>52</v>
      </c>
      <c r="C1542" t="s">
        <v>7</v>
      </c>
      <c r="D1542">
        <v>688</v>
      </c>
      <c r="E1542" s="1">
        <v>25928</v>
      </c>
      <c r="F1542" s="2">
        <v>62417</v>
      </c>
    </row>
    <row r="1543" spans="1:6" x14ac:dyDescent="0.25">
      <c r="A1543">
        <v>2017</v>
      </c>
      <c r="B1543" t="s">
        <v>52</v>
      </c>
      <c r="C1543" t="s">
        <v>8</v>
      </c>
      <c r="D1543" s="1">
        <v>20513</v>
      </c>
      <c r="E1543" s="1">
        <v>363137</v>
      </c>
      <c r="F1543" s="2">
        <v>59389</v>
      </c>
    </row>
    <row r="1544" spans="1:6" x14ac:dyDescent="0.25">
      <c r="A1544">
        <v>2017</v>
      </c>
      <c r="B1544" t="s">
        <v>52</v>
      </c>
      <c r="C1544" t="s">
        <v>9</v>
      </c>
      <c r="D1544" s="1">
        <v>9745</v>
      </c>
      <c r="E1544" s="1">
        <v>395916</v>
      </c>
      <c r="F1544" s="2">
        <v>57889</v>
      </c>
    </row>
    <row r="1545" spans="1:6" x14ac:dyDescent="0.25">
      <c r="A1545">
        <v>2017</v>
      </c>
      <c r="B1545" t="s">
        <v>52</v>
      </c>
      <c r="C1545" t="s">
        <v>10</v>
      </c>
      <c r="D1545" s="1">
        <v>2750</v>
      </c>
      <c r="E1545" s="1">
        <v>66056</v>
      </c>
      <c r="F1545" s="2">
        <v>61543</v>
      </c>
    </row>
    <row r="1546" spans="1:6" x14ac:dyDescent="0.25">
      <c r="A1546">
        <v>2017</v>
      </c>
      <c r="B1546" t="s">
        <v>52</v>
      </c>
      <c r="C1546" t="s">
        <v>11</v>
      </c>
      <c r="D1546" s="1">
        <v>17979</v>
      </c>
      <c r="E1546" s="1">
        <v>574692</v>
      </c>
      <c r="F1546" s="2">
        <v>70174</v>
      </c>
    </row>
    <row r="1547" spans="1:6" x14ac:dyDescent="0.25">
      <c r="A1547">
        <v>2017</v>
      </c>
      <c r="B1547" t="s">
        <v>52</v>
      </c>
      <c r="C1547" t="s">
        <v>12</v>
      </c>
      <c r="D1547" s="1">
        <v>8554</v>
      </c>
      <c r="E1547" s="1">
        <v>531312</v>
      </c>
      <c r="F1547" s="2">
        <v>61118</v>
      </c>
    </row>
    <row r="1548" spans="1:6" x14ac:dyDescent="0.25">
      <c r="A1548">
        <v>2017</v>
      </c>
      <c r="B1548" t="s">
        <v>52</v>
      </c>
      <c r="C1548" t="s">
        <v>13</v>
      </c>
      <c r="D1548" s="1">
        <v>4125</v>
      </c>
      <c r="E1548" s="1">
        <v>215910</v>
      </c>
      <c r="F1548" s="2">
        <v>58617</v>
      </c>
    </row>
    <row r="1549" spans="1:6" x14ac:dyDescent="0.25">
      <c r="A1549">
        <v>2017</v>
      </c>
      <c r="B1549" t="s">
        <v>52</v>
      </c>
      <c r="C1549" t="s">
        <v>14</v>
      </c>
      <c r="D1549" s="1">
        <v>3164</v>
      </c>
      <c r="E1549" s="1">
        <v>161517</v>
      </c>
      <c r="F1549" s="2">
        <v>57532</v>
      </c>
    </row>
    <row r="1550" spans="1:6" x14ac:dyDescent="0.25">
      <c r="A1550">
        <v>2017</v>
      </c>
      <c r="B1550" t="s">
        <v>52</v>
      </c>
      <c r="C1550" t="s">
        <v>15</v>
      </c>
      <c r="D1550" s="1">
        <v>4368</v>
      </c>
      <c r="E1550" s="1">
        <v>250180</v>
      </c>
      <c r="F1550" s="2">
        <v>58143</v>
      </c>
    </row>
    <row r="1551" spans="1:6" x14ac:dyDescent="0.25">
      <c r="A1551">
        <v>2017</v>
      </c>
      <c r="B1551" t="s">
        <v>52</v>
      </c>
      <c r="C1551" t="s">
        <v>16</v>
      </c>
      <c r="D1551" s="1">
        <v>4464</v>
      </c>
      <c r="E1551" s="1">
        <v>134680</v>
      </c>
      <c r="F1551" s="2">
        <v>72604</v>
      </c>
    </row>
    <row r="1552" spans="1:6" x14ac:dyDescent="0.25">
      <c r="A1552">
        <v>2017</v>
      </c>
      <c r="B1552" t="s">
        <v>52</v>
      </c>
      <c r="C1552" t="s">
        <v>17</v>
      </c>
      <c r="D1552" s="1">
        <v>1877</v>
      </c>
      <c r="E1552" s="1">
        <v>50911</v>
      </c>
      <c r="F1552" s="2">
        <v>55458</v>
      </c>
    </row>
    <row r="1553" spans="1:6" x14ac:dyDescent="0.25">
      <c r="A1553">
        <v>2017</v>
      </c>
      <c r="B1553" t="s">
        <v>52</v>
      </c>
      <c r="C1553" t="s">
        <v>18</v>
      </c>
      <c r="D1553" s="1">
        <v>3901</v>
      </c>
      <c r="E1553" s="1">
        <v>106864</v>
      </c>
      <c r="F1553" s="2">
        <v>77289</v>
      </c>
    </row>
    <row r="1554" spans="1:6" x14ac:dyDescent="0.25">
      <c r="A1554">
        <v>2017</v>
      </c>
      <c r="B1554" t="s">
        <v>52</v>
      </c>
      <c r="C1554" t="s">
        <v>19</v>
      </c>
      <c r="D1554" s="1">
        <v>6850</v>
      </c>
      <c r="E1554" s="1">
        <v>244647</v>
      </c>
      <c r="F1554" s="2">
        <v>88132</v>
      </c>
    </row>
    <row r="1555" spans="1:6" x14ac:dyDescent="0.25">
      <c r="A1555">
        <v>2017</v>
      </c>
      <c r="B1555" t="s">
        <v>52</v>
      </c>
      <c r="C1555" t="s">
        <v>20</v>
      </c>
      <c r="D1555" s="1">
        <v>15721</v>
      </c>
      <c r="E1555" s="1">
        <v>615106</v>
      </c>
      <c r="F1555" s="2">
        <v>66395</v>
      </c>
    </row>
    <row r="1556" spans="1:6" x14ac:dyDescent="0.25">
      <c r="A1556">
        <v>2017</v>
      </c>
      <c r="B1556" t="s">
        <v>52</v>
      </c>
      <c r="C1556" t="s">
        <v>21</v>
      </c>
      <c r="D1556" s="1">
        <v>8369</v>
      </c>
      <c r="E1556" s="1">
        <v>319035</v>
      </c>
      <c r="F1556" s="2">
        <v>65734</v>
      </c>
    </row>
    <row r="1557" spans="1:6" x14ac:dyDescent="0.25">
      <c r="A1557">
        <v>2017</v>
      </c>
      <c r="B1557" t="s">
        <v>52</v>
      </c>
      <c r="C1557" t="s">
        <v>22</v>
      </c>
      <c r="D1557" s="1">
        <v>2441</v>
      </c>
      <c r="E1557" s="1">
        <v>144047</v>
      </c>
      <c r="F1557" s="2">
        <v>48199</v>
      </c>
    </row>
    <row r="1558" spans="1:6" x14ac:dyDescent="0.25">
      <c r="A1558">
        <v>2017</v>
      </c>
      <c r="B1558" t="s">
        <v>52</v>
      </c>
      <c r="C1558" t="s">
        <v>23</v>
      </c>
      <c r="D1558" s="1">
        <v>6636</v>
      </c>
      <c r="E1558" s="1">
        <v>265863</v>
      </c>
      <c r="F1558" s="2">
        <v>57139</v>
      </c>
    </row>
    <row r="1559" spans="1:6" x14ac:dyDescent="0.25">
      <c r="A1559">
        <v>2017</v>
      </c>
      <c r="B1559" t="s">
        <v>52</v>
      </c>
      <c r="C1559" t="s">
        <v>24</v>
      </c>
      <c r="D1559" s="1">
        <v>1572</v>
      </c>
      <c r="E1559" s="1">
        <v>19893</v>
      </c>
      <c r="F1559" s="2">
        <v>48758</v>
      </c>
    </row>
    <row r="1560" spans="1:6" x14ac:dyDescent="0.25">
      <c r="A1560">
        <v>2017</v>
      </c>
      <c r="B1560" t="s">
        <v>52</v>
      </c>
      <c r="C1560" t="s">
        <v>25</v>
      </c>
      <c r="D1560" s="1">
        <v>1977</v>
      </c>
      <c r="E1560" s="1">
        <v>98082</v>
      </c>
      <c r="F1560" s="2">
        <v>49568</v>
      </c>
    </row>
    <row r="1561" spans="1:6" x14ac:dyDescent="0.25">
      <c r="A1561">
        <v>2017</v>
      </c>
      <c r="B1561" t="s">
        <v>52</v>
      </c>
      <c r="C1561" t="s">
        <v>26</v>
      </c>
      <c r="D1561" s="1">
        <v>2043</v>
      </c>
      <c r="E1561" s="1">
        <v>47800</v>
      </c>
      <c r="F1561" s="2">
        <v>56486</v>
      </c>
    </row>
    <row r="1562" spans="1:6" x14ac:dyDescent="0.25">
      <c r="A1562">
        <v>2017</v>
      </c>
      <c r="B1562" t="s">
        <v>52</v>
      </c>
      <c r="C1562" t="s">
        <v>27</v>
      </c>
      <c r="D1562" s="1">
        <v>2011</v>
      </c>
      <c r="E1562" s="1">
        <v>68971</v>
      </c>
      <c r="F1562" s="2">
        <v>70482</v>
      </c>
    </row>
    <row r="1563" spans="1:6" x14ac:dyDescent="0.25">
      <c r="A1563">
        <v>2017</v>
      </c>
      <c r="B1563" t="s">
        <v>52</v>
      </c>
      <c r="C1563" t="s">
        <v>28</v>
      </c>
      <c r="D1563" s="1">
        <v>8962</v>
      </c>
      <c r="E1563" s="1">
        <v>242476</v>
      </c>
      <c r="F1563" s="2">
        <v>78813</v>
      </c>
    </row>
    <row r="1564" spans="1:6" x14ac:dyDescent="0.25">
      <c r="A1564">
        <v>2017</v>
      </c>
      <c r="B1564" t="s">
        <v>52</v>
      </c>
      <c r="C1564" t="s">
        <v>29</v>
      </c>
      <c r="D1564" s="1">
        <v>1724</v>
      </c>
      <c r="E1564" s="1">
        <v>26398</v>
      </c>
      <c r="F1564" s="2">
        <v>53328</v>
      </c>
    </row>
    <row r="1565" spans="1:6" x14ac:dyDescent="0.25">
      <c r="A1565">
        <v>2017</v>
      </c>
      <c r="B1565" t="s">
        <v>52</v>
      </c>
      <c r="C1565" t="s">
        <v>30</v>
      </c>
      <c r="D1565" s="1">
        <v>17319</v>
      </c>
      <c r="E1565" s="1">
        <v>444182</v>
      </c>
      <c r="F1565" s="2">
        <v>65899</v>
      </c>
    </row>
    <row r="1566" spans="1:6" x14ac:dyDescent="0.25">
      <c r="A1566">
        <v>2017</v>
      </c>
      <c r="B1566" t="s">
        <v>52</v>
      </c>
      <c r="C1566" t="s">
        <v>31</v>
      </c>
      <c r="D1566" s="1">
        <v>10287</v>
      </c>
      <c r="E1566" s="1">
        <v>467306</v>
      </c>
      <c r="F1566" s="2">
        <v>58368</v>
      </c>
    </row>
    <row r="1567" spans="1:6" x14ac:dyDescent="0.25">
      <c r="A1567">
        <v>2017</v>
      </c>
      <c r="B1567" t="s">
        <v>52</v>
      </c>
      <c r="C1567" t="s">
        <v>32</v>
      </c>
      <c r="D1567">
        <v>810</v>
      </c>
      <c r="E1567" s="1">
        <v>24680</v>
      </c>
      <c r="F1567" s="2">
        <v>52594</v>
      </c>
    </row>
    <row r="1568" spans="1:6" x14ac:dyDescent="0.25">
      <c r="A1568">
        <v>2017</v>
      </c>
      <c r="B1568" t="s">
        <v>52</v>
      </c>
      <c r="C1568" t="s">
        <v>33</v>
      </c>
      <c r="D1568" s="1">
        <v>15430</v>
      </c>
      <c r="E1568" s="1">
        <v>685942</v>
      </c>
      <c r="F1568" s="2">
        <v>60002</v>
      </c>
    </row>
    <row r="1569" spans="1:6" x14ac:dyDescent="0.25">
      <c r="A1569">
        <v>2017</v>
      </c>
      <c r="B1569" t="s">
        <v>52</v>
      </c>
      <c r="C1569" t="s">
        <v>34</v>
      </c>
      <c r="D1569" s="1">
        <v>4230</v>
      </c>
      <c r="E1569" s="1">
        <v>128122</v>
      </c>
      <c r="F1569" s="2">
        <v>55496</v>
      </c>
    </row>
    <row r="1570" spans="1:6" x14ac:dyDescent="0.25">
      <c r="A1570">
        <v>2017</v>
      </c>
      <c r="B1570" t="s">
        <v>52</v>
      </c>
      <c r="C1570" t="s">
        <v>35</v>
      </c>
      <c r="D1570" s="1">
        <v>6175</v>
      </c>
      <c r="E1570" s="1">
        <v>189318</v>
      </c>
      <c r="F1570" s="2">
        <v>68161</v>
      </c>
    </row>
    <row r="1571" spans="1:6" x14ac:dyDescent="0.25">
      <c r="A1571">
        <v>2017</v>
      </c>
      <c r="B1571" t="s">
        <v>52</v>
      </c>
      <c r="C1571" t="s">
        <v>36</v>
      </c>
      <c r="D1571" s="1">
        <v>14414</v>
      </c>
      <c r="E1571" s="1">
        <v>561774</v>
      </c>
      <c r="F1571" s="2">
        <v>61111</v>
      </c>
    </row>
    <row r="1572" spans="1:6" x14ac:dyDescent="0.25">
      <c r="A1572">
        <v>2017</v>
      </c>
      <c r="B1572" t="s">
        <v>52</v>
      </c>
      <c r="C1572" t="s">
        <v>37</v>
      </c>
      <c r="D1572" s="1">
        <v>1567</v>
      </c>
      <c r="E1572" s="1">
        <v>40341</v>
      </c>
      <c r="F1572" s="2">
        <v>57616</v>
      </c>
    </row>
    <row r="1573" spans="1:6" x14ac:dyDescent="0.25">
      <c r="A1573">
        <v>2017</v>
      </c>
      <c r="B1573" t="s">
        <v>52</v>
      </c>
      <c r="C1573" t="s">
        <v>38</v>
      </c>
      <c r="D1573" s="1">
        <v>5906</v>
      </c>
      <c r="E1573" s="1">
        <v>240456</v>
      </c>
      <c r="F1573" s="2">
        <v>58927</v>
      </c>
    </row>
    <row r="1574" spans="1:6" x14ac:dyDescent="0.25">
      <c r="A1574">
        <v>2017</v>
      </c>
      <c r="B1574" t="s">
        <v>52</v>
      </c>
      <c r="C1574" t="s">
        <v>39</v>
      </c>
      <c r="D1574" s="1">
        <v>1091</v>
      </c>
      <c r="E1574" s="1">
        <v>43081</v>
      </c>
      <c r="F1574" s="2">
        <v>47877</v>
      </c>
    </row>
    <row r="1575" spans="1:6" x14ac:dyDescent="0.25">
      <c r="A1575">
        <v>2017</v>
      </c>
      <c r="B1575" t="s">
        <v>52</v>
      </c>
      <c r="C1575" t="s">
        <v>40</v>
      </c>
      <c r="D1575" s="1">
        <v>6835</v>
      </c>
      <c r="E1575" s="1">
        <v>348417</v>
      </c>
      <c r="F1575" s="2">
        <v>59526</v>
      </c>
    </row>
    <row r="1576" spans="1:6" x14ac:dyDescent="0.25">
      <c r="A1576">
        <v>2017</v>
      </c>
      <c r="B1576" t="s">
        <v>52</v>
      </c>
      <c r="C1576" t="s">
        <v>41</v>
      </c>
      <c r="D1576" s="1">
        <v>24275</v>
      </c>
      <c r="E1576" s="1">
        <v>851513</v>
      </c>
      <c r="F1576" s="2">
        <v>75813</v>
      </c>
    </row>
    <row r="1577" spans="1:6" x14ac:dyDescent="0.25">
      <c r="A1577">
        <v>2017</v>
      </c>
      <c r="B1577" t="s">
        <v>52</v>
      </c>
      <c r="C1577" t="s">
        <v>42</v>
      </c>
      <c r="D1577" s="1">
        <v>4248</v>
      </c>
      <c r="E1577" s="1">
        <v>128365</v>
      </c>
      <c r="F1577" s="2">
        <v>56723</v>
      </c>
    </row>
    <row r="1578" spans="1:6" x14ac:dyDescent="0.25">
      <c r="A1578">
        <v>2017</v>
      </c>
      <c r="B1578" t="s">
        <v>52</v>
      </c>
      <c r="C1578" t="s">
        <v>43</v>
      </c>
      <c r="D1578" s="1">
        <v>1105</v>
      </c>
      <c r="E1578" s="1">
        <v>29550</v>
      </c>
      <c r="F1578" s="2">
        <v>58004</v>
      </c>
    </row>
    <row r="1579" spans="1:6" x14ac:dyDescent="0.25">
      <c r="A1579">
        <v>2017</v>
      </c>
      <c r="B1579" t="s">
        <v>52</v>
      </c>
      <c r="C1579" t="s">
        <v>44</v>
      </c>
      <c r="D1579" s="1">
        <v>6475</v>
      </c>
      <c r="E1579" s="1">
        <v>232927</v>
      </c>
      <c r="F1579" s="2">
        <v>57894</v>
      </c>
    </row>
    <row r="1580" spans="1:6" x14ac:dyDescent="0.25">
      <c r="A1580">
        <v>2017</v>
      </c>
      <c r="B1580" t="s">
        <v>52</v>
      </c>
      <c r="C1580" t="s">
        <v>45</v>
      </c>
      <c r="D1580" s="1">
        <v>7671</v>
      </c>
      <c r="E1580" s="1">
        <v>280368</v>
      </c>
      <c r="F1580" s="2">
        <v>76290</v>
      </c>
    </row>
    <row r="1581" spans="1:6" x14ac:dyDescent="0.25">
      <c r="A1581">
        <v>2017</v>
      </c>
      <c r="B1581" t="s">
        <v>52</v>
      </c>
      <c r="C1581" t="s">
        <v>46</v>
      </c>
      <c r="D1581" s="1">
        <v>1272</v>
      </c>
      <c r="E1581" s="1">
        <v>46575</v>
      </c>
      <c r="F1581" s="2">
        <v>58624</v>
      </c>
    </row>
    <row r="1582" spans="1:6" x14ac:dyDescent="0.25">
      <c r="A1582">
        <v>2017</v>
      </c>
      <c r="B1582" t="s">
        <v>52</v>
      </c>
      <c r="C1582" t="s">
        <v>47</v>
      </c>
      <c r="D1582" s="1">
        <v>9356</v>
      </c>
      <c r="E1582" s="1">
        <v>466595</v>
      </c>
      <c r="F1582" s="2">
        <v>57001</v>
      </c>
    </row>
    <row r="1583" spans="1:6" x14ac:dyDescent="0.25">
      <c r="A1583">
        <v>2017</v>
      </c>
      <c r="B1583" t="s">
        <v>52</v>
      </c>
      <c r="C1583" t="s">
        <v>48</v>
      </c>
      <c r="D1583">
        <v>598</v>
      </c>
      <c r="E1583" s="1">
        <v>9378</v>
      </c>
      <c r="F1583" s="2">
        <v>65834</v>
      </c>
    </row>
    <row r="1584" spans="1:6" x14ac:dyDescent="0.25">
      <c r="A1584">
        <v>2017</v>
      </c>
      <c r="B1584" t="s">
        <v>54</v>
      </c>
      <c r="C1584" t="s">
        <v>1</v>
      </c>
      <c r="D1584" s="1">
        <v>32410</v>
      </c>
      <c r="E1584" s="1">
        <v>375653</v>
      </c>
      <c r="F1584" s="2">
        <v>40518</v>
      </c>
    </row>
    <row r="1585" spans="1:6" x14ac:dyDescent="0.25">
      <c r="A1585">
        <v>2017</v>
      </c>
      <c r="B1585" t="s">
        <v>54</v>
      </c>
      <c r="C1585" t="s">
        <v>2</v>
      </c>
      <c r="D1585" s="1">
        <v>29489</v>
      </c>
      <c r="E1585" s="1">
        <v>518475</v>
      </c>
      <c r="F1585" s="2">
        <v>45126</v>
      </c>
    </row>
    <row r="1586" spans="1:6" x14ac:dyDescent="0.25">
      <c r="A1586">
        <v>2017</v>
      </c>
      <c r="B1586" t="s">
        <v>54</v>
      </c>
      <c r="C1586" t="s">
        <v>3</v>
      </c>
      <c r="D1586" s="1">
        <v>21486</v>
      </c>
      <c r="E1586" s="1">
        <v>247661</v>
      </c>
      <c r="F1586" s="2">
        <v>40275</v>
      </c>
    </row>
    <row r="1587" spans="1:6" x14ac:dyDescent="0.25">
      <c r="A1587">
        <v>2017</v>
      </c>
      <c r="B1587" t="s">
        <v>54</v>
      </c>
      <c r="C1587" t="s">
        <v>4</v>
      </c>
      <c r="D1587" s="1">
        <v>185826</v>
      </c>
      <c r="E1587" s="1">
        <v>3010983</v>
      </c>
      <c r="F1587" s="2">
        <v>51095</v>
      </c>
    </row>
    <row r="1588" spans="1:6" x14ac:dyDescent="0.25">
      <c r="A1588">
        <v>2017</v>
      </c>
      <c r="B1588" t="s">
        <v>54</v>
      </c>
      <c r="C1588" t="s">
        <v>5</v>
      </c>
      <c r="D1588" s="1">
        <v>35715</v>
      </c>
      <c r="E1588" s="1">
        <v>458174</v>
      </c>
      <c r="F1588" s="2">
        <v>48601</v>
      </c>
    </row>
    <row r="1589" spans="1:6" x14ac:dyDescent="0.25">
      <c r="A1589">
        <v>2017</v>
      </c>
      <c r="B1589" t="s">
        <v>54</v>
      </c>
      <c r="C1589" t="s">
        <v>6</v>
      </c>
      <c r="D1589" s="1">
        <v>25027</v>
      </c>
      <c r="E1589" s="1">
        <v>297198</v>
      </c>
      <c r="F1589" s="2">
        <v>50064</v>
      </c>
    </row>
    <row r="1590" spans="1:6" x14ac:dyDescent="0.25">
      <c r="A1590">
        <v>2017</v>
      </c>
      <c r="B1590" t="s">
        <v>54</v>
      </c>
      <c r="C1590" t="s">
        <v>7</v>
      </c>
      <c r="D1590" s="1">
        <v>6681</v>
      </c>
      <c r="E1590" s="1">
        <v>79724</v>
      </c>
      <c r="F1590" s="2">
        <v>39700</v>
      </c>
    </row>
    <row r="1591" spans="1:6" x14ac:dyDescent="0.25">
      <c r="A1591">
        <v>2017</v>
      </c>
      <c r="B1591" t="s">
        <v>54</v>
      </c>
      <c r="C1591" t="s">
        <v>8</v>
      </c>
      <c r="D1591" s="1">
        <v>139501</v>
      </c>
      <c r="E1591" s="1">
        <v>1739867</v>
      </c>
      <c r="F1591" s="2">
        <v>43229</v>
      </c>
    </row>
    <row r="1592" spans="1:6" x14ac:dyDescent="0.25">
      <c r="A1592">
        <v>2017</v>
      </c>
      <c r="B1592" t="s">
        <v>54</v>
      </c>
      <c r="C1592" t="s">
        <v>9</v>
      </c>
      <c r="D1592" s="1">
        <v>60382</v>
      </c>
      <c r="E1592" s="1">
        <v>930943</v>
      </c>
      <c r="F1592" s="2">
        <v>48763</v>
      </c>
    </row>
    <row r="1593" spans="1:6" x14ac:dyDescent="0.25">
      <c r="A1593">
        <v>2017</v>
      </c>
      <c r="B1593" t="s">
        <v>54</v>
      </c>
      <c r="C1593" t="s">
        <v>10</v>
      </c>
      <c r="D1593" s="1">
        <v>11706</v>
      </c>
      <c r="E1593" s="1">
        <v>136606</v>
      </c>
      <c r="F1593" s="2">
        <v>38856</v>
      </c>
    </row>
    <row r="1594" spans="1:6" x14ac:dyDescent="0.25">
      <c r="A1594">
        <v>2017</v>
      </c>
      <c r="B1594" t="s">
        <v>54</v>
      </c>
      <c r="C1594" t="s">
        <v>11</v>
      </c>
      <c r="D1594" s="1">
        <v>77273</v>
      </c>
      <c r="E1594" s="1">
        <v>1192805</v>
      </c>
      <c r="F1594" s="2">
        <v>50025</v>
      </c>
    </row>
    <row r="1595" spans="1:6" x14ac:dyDescent="0.25">
      <c r="A1595">
        <v>2017</v>
      </c>
      <c r="B1595" t="s">
        <v>54</v>
      </c>
      <c r="C1595" t="s">
        <v>12</v>
      </c>
      <c r="D1595" s="1">
        <v>40630</v>
      </c>
      <c r="E1595" s="1">
        <v>588381</v>
      </c>
      <c r="F1595" s="2">
        <v>40479</v>
      </c>
    </row>
    <row r="1596" spans="1:6" x14ac:dyDescent="0.25">
      <c r="A1596">
        <v>2017</v>
      </c>
      <c r="B1596" t="s">
        <v>54</v>
      </c>
      <c r="C1596" t="s">
        <v>13</v>
      </c>
      <c r="D1596" s="1">
        <v>23446</v>
      </c>
      <c r="E1596" s="1">
        <v>311763</v>
      </c>
      <c r="F1596" s="2">
        <v>39025</v>
      </c>
    </row>
    <row r="1597" spans="1:6" x14ac:dyDescent="0.25">
      <c r="A1597">
        <v>2017</v>
      </c>
      <c r="B1597" t="s">
        <v>54</v>
      </c>
      <c r="C1597" t="s">
        <v>14</v>
      </c>
      <c r="D1597" s="1">
        <v>20676</v>
      </c>
      <c r="E1597" s="1">
        <v>263529</v>
      </c>
      <c r="F1597" s="2">
        <v>40705</v>
      </c>
    </row>
    <row r="1598" spans="1:6" x14ac:dyDescent="0.25">
      <c r="A1598">
        <v>2017</v>
      </c>
      <c r="B1598" t="s">
        <v>54</v>
      </c>
      <c r="C1598" t="s">
        <v>15</v>
      </c>
      <c r="D1598" s="1">
        <v>27941</v>
      </c>
      <c r="E1598" s="1">
        <v>398217</v>
      </c>
      <c r="F1598" s="2">
        <v>41261</v>
      </c>
    </row>
    <row r="1599" spans="1:6" x14ac:dyDescent="0.25">
      <c r="A1599">
        <v>2017</v>
      </c>
      <c r="B1599" t="s">
        <v>54</v>
      </c>
      <c r="C1599" t="s">
        <v>16</v>
      </c>
      <c r="D1599" s="1">
        <v>30444</v>
      </c>
      <c r="E1599" s="1">
        <v>378830</v>
      </c>
      <c r="F1599" s="2">
        <v>40938</v>
      </c>
    </row>
    <row r="1600" spans="1:6" x14ac:dyDescent="0.25">
      <c r="A1600">
        <v>2017</v>
      </c>
      <c r="B1600" t="s">
        <v>54</v>
      </c>
      <c r="C1600" t="s">
        <v>17</v>
      </c>
      <c r="D1600" s="1">
        <v>11060</v>
      </c>
      <c r="E1600" s="1">
        <v>119329</v>
      </c>
      <c r="F1600" s="2">
        <v>36287</v>
      </c>
    </row>
    <row r="1601" spans="1:6" x14ac:dyDescent="0.25">
      <c r="A1601">
        <v>2017</v>
      </c>
      <c r="B1601" t="s">
        <v>54</v>
      </c>
      <c r="C1601" t="s">
        <v>18</v>
      </c>
      <c r="D1601" s="1">
        <v>33064</v>
      </c>
      <c r="E1601" s="1">
        <v>462131</v>
      </c>
      <c r="F1601" s="2">
        <v>45367</v>
      </c>
    </row>
    <row r="1602" spans="1:6" x14ac:dyDescent="0.25">
      <c r="A1602">
        <v>2017</v>
      </c>
      <c r="B1602" t="s">
        <v>54</v>
      </c>
      <c r="C1602" t="s">
        <v>19</v>
      </c>
      <c r="D1602" s="1">
        <v>42906</v>
      </c>
      <c r="E1602" s="1">
        <v>577319</v>
      </c>
      <c r="F1602" s="2">
        <v>51500</v>
      </c>
    </row>
    <row r="1603" spans="1:6" x14ac:dyDescent="0.25">
      <c r="A1603">
        <v>2017</v>
      </c>
      <c r="B1603" t="s">
        <v>54</v>
      </c>
      <c r="C1603" t="s">
        <v>20</v>
      </c>
      <c r="D1603" s="1">
        <v>52149</v>
      </c>
      <c r="E1603" s="1">
        <v>784393</v>
      </c>
      <c r="F1603" s="2">
        <v>45628</v>
      </c>
    </row>
    <row r="1604" spans="1:6" x14ac:dyDescent="0.25">
      <c r="A1604">
        <v>2017</v>
      </c>
      <c r="B1604" t="s">
        <v>54</v>
      </c>
      <c r="C1604" t="s">
        <v>21</v>
      </c>
      <c r="D1604" s="1">
        <v>36334</v>
      </c>
      <c r="E1604" s="1">
        <v>531926</v>
      </c>
      <c r="F1604" s="2">
        <v>48273</v>
      </c>
    </row>
    <row r="1605" spans="1:6" x14ac:dyDescent="0.25">
      <c r="A1605">
        <v>2017</v>
      </c>
      <c r="B1605" t="s">
        <v>54</v>
      </c>
      <c r="C1605" t="s">
        <v>22</v>
      </c>
      <c r="D1605" s="1">
        <v>19589</v>
      </c>
      <c r="E1605" s="1">
        <v>229775</v>
      </c>
      <c r="F1605" s="2">
        <v>35324</v>
      </c>
    </row>
    <row r="1606" spans="1:6" x14ac:dyDescent="0.25">
      <c r="A1606">
        <v>2017</v>
      </c>
      <c r="B1606" t="s">
        <v>54</v>
      </c>
      <c r="C1606" t="s">
        <v>23</v>
      </c>
      <c r="D1606" s="1">
        <v>40324</v>
      </c>
      <c r="E1606" s="1">
        <v>538185</v>
      </c>
      <c r="F1606" s="2">
        <v>41095</v>
      </c>
    </row>
    <row r="1607" spans="1:6" x14ac:dyDescent="0.25">
      <c r="A1607">
        <v>2017</v>
      </c>
      <c r="B1607" t="s">
        <v>54</v>
      </c>
      <c r="C1607" t="s">
        <v>24</v>
      </c>
      <c r="D1607" s="1">
        <v>9270</v>
      </c>
      <c r="E1607" s="1">
        <v>91194</v>
      </c>
      <c r="F1607" s="2">
        <v>38067</v>
      </c>
    </row>
    <row r="1608" spans="1:6" x14ac:dyDescent="0.25">
      <c r="A1608">
        <v>2017</v>
      </c>
      <c r="B1608" t="s">
        <v>54</v>
      </c>
      <c r="C1608" t="s">
        <v>25</v>
      </c>
      <c r="D1608" s="1">
        <v>15024</v>
      </c>
      <c r="E1608" s="1">
        <v>190930</v>
      </c>
      <c r="F1608" s="2">
        <v>38493</v>
      </c>
    </row>
    <row r="1609" spans="1:6" x14ac:dyDescent="0.25">
      <c r="A1609">
        <v>2017</v>
      </c>
      <c r="B1609" t="s">
        <v>54</v>
      </c>
      <c r="C1609" t="s">
        <v>26</v>
      </c>
      <c r="D1609" s="1">
        <v>15910</v>
      </c>
      <c r="E1609" s="1">
        <v>247973</v>
      </c>
      <c r="F1609" s="2">
        <v>42847</v>
      </c>
    </row>
    <row r="1610" spans="1:6" x14ac:dyDescent="0.25">
      <c r="A1610">
        <v>2017</v>
      </c>
      <c r="B1610" t="s">
        <v>54</v>
      </c>
      <c r="C1610" t="s">
        <v>27</v>
      </c>
      <c r="D1610" s="1">
        <v>12612</v>
      </c>
      <c r="E1610" s="1">
        <v>139876</v>
      </c>
      <c r="F1610" s="2">
        <v>46101</v>
      </c>
    </row>
    <row r="1611" spans="1:6" x14ac:dyDescent="0.25">
      <c r="A1611">
        <v>2017</v>
      </c>
      <c r="B1611" t="s">
        <v>54</v>
      </c>
      <c r="C1611" t="s">
        <v>28</v>
      </c>
      <c r="D1611" s="1">
        <v>53977</v>
      </c>
      <c r="E1611" s="1">
        <v>872180</v>
      </c>
      <c r="F1611" s="2">
        <v>52631</v>
      </c>
    </row>
    <row r="1612" spans="1:6" x14ac:dyDescent="0.25">
      <c r="A1612">
        <v>2017</v>
      </c>
      <c r="B1612" t="s">
        <v>54</v>
      </c>
      <c r="C1612" t="s">
        <v>29</v>
      </c>
      <c r="D1612" s="1">
        <v>10538</v>
      </c>
      <c r="E1612" s="1">
        <v>134696</v>
      </c>
      <c r="F1612" s="2">
        <v>36519</v>
      </c>
    </row>
    <row r="1613" spans="1:6" x14ac:dyDescent="0.25">
      <c r="A1613">
        <v>2017</v>
      </c>
      <c r="B1613" t="s">
        <v>54</v>
      </c>
      <c r="C1613" t="s">
        <v>30</v>
      </c>
      <c r="D1613" s="1">
        <v>126549</v>
      </c>
      <c r="E1613" s="1">
        <v>1562385</v>
      </c>
      <c r="F1613" s="2">
        <v>50389</v>
      </c>
    </row>
    <row r="1614" spans="1:6" x14ac:dyDescent="0.25">
      <c r="A1614">
        <v>2017</v>
      </c>
      <c r="B1614" t="s">
        <v>54</v>
      </c>
      <c r="C1614" t="s">
        <v>31</v>
      </c>
      <c r="D1614" s="1">
        <v>61042</v>
      </c>
      <c r="E1614" s="1">
        <v>824989</v>
      </c>
      <c r="F1614" s="2">
        <v>41845</v>
      </c>
    </row>
    <row r="1615" spans="1:6" x14ac:dyDescent="0.25">
      <c r="A1615">
        <v>2017</v>
      </c>
      <c r="B1615" t="s">
        <v>54</v>
      </c>
      <c r="C1615" t="s">
        <v>32</v>
      </c>
      <c r="D1615" s="1">
        <v>7819</v>
      </c>
      <c r="E1615" s="1">
        <v>92052</v>
      </c>
      <c r="F1615" s="2">
        <v>47910</v>
      </c>
    </row>
    <row r="1616" spans="1:6" x14ac:dyDescent="0.25">
      <c r="A1616">
        <v>2017</v>
      </c>
      <c r="B1616" t="s">
        <v>54</v>
      </c>
      <c r="C1616" t="s">
        <v>33</v>
      </c>
      <c r="D1616" s="1">
        <v>68763</v>
      </c>
      <c r="E1616" s="1">
        <v>1018161</v>
      </c>
      <c r="F1616" s="2">
        <v>42564</v>
      </c>
    </row>
    <row r="1617" spans="1:6" x14ac:dyDescent="0.25">
      <c r="A1617">
        <v>2017</v>
      </c>
      <c r="B1617" t="s">
        <v>54</v>
      </c>
      <c r="C1617" t="s">
        <v>34</v>
      </c>
      <c r="D1617" s="1">
        <v>23838</v>
      </c>
      <c r="E1617" s="1">
        <v>301165</v>
      </c>
      <c r="F1617" s="2">
        <v>41040</v>
      </c>
    </row>
    <row r="1618" spans="1:6" x14ac:dyDescent="0.25">
      <c r="A1618">
        <v>2017</v>
      </c>
      <c r="B1618" t="s">
        <v>54</v>
      </c>
      <c r="C1618" t="s">
        <v>35</v>
      </c>
      <c r="D1618" s="1">
        <v>26684</v>
      </c>
      <c r="E1618" s="1">
        <v>347515</v>
      </c>
      <c r="F1618" s="2">
        <v>42870</v>
      </c>
    </row>
    <row r="1619" spans="1:6" x14ac:dyDescent="0.25">
      <c r="A1619">
        <v>2017</v>
      </c>
      <c r="B1619" t="s">
        <v>54</v>
      </c>
      <c r="C1619" t="s">
        <v>36</v>
      </c>
      <c r="D1619" s="1">
        <v>75374</v>
      </c>
      <c r="E1619" s="1">
        <v>1115565</v>
      </c>
      <c r="F1619" s="2">
        <v>43972</v>
      </c>
    </row>
    <row r="1620" spans="1:6" x14ac:dyDescent="0.25">
      <c r="A1620">
        <v>2017</v>
      </c>
      <c r="B1620" t="s">
        <v>54</v>
      </c>
      <c r="C1620" t="s">
        <v>37</v>
      </c>
      <c r="D1620" s="1">
        <v>7674</v>
      </c>
      <c r="E1620" s="1">
        <v>76263</v>
      </c>
      <c r="F1620" s="2">
        <v>42503</v>
      </c>
    </row>
    <row r="1621" spans="1:6" x14ac:dyDescent="0.25">
      <c r="A1621">
        <v>2017</v>
      </c>
      <c r="B1621" t="s">
        <v>54</v>
      </c>
      <c r="C1621" t="s">
        <v>38</v>
      </c>
      <c r="D1621" s="1">
        <v>29784</v>
      </c>
      <c r="E1621" s="1">
        <v>395329</v>
      </c>
      <c r="F1621" s="2">
        <v>38973</v>
      </c>
    </row>
    <row r="1622" spans="1:6" x14ac:dyDescent="0.25">
      <c r="A1622">
        <v>2017</v>
      </c>
      <c r="B1622" t="s">
        <v>54</v>
      </c>
      <c r="C1622" t="s">
        <v>39</v>
      </c>
      <c r="D1622" s="1">
        <v>8036</v>
      </c>
      <c r="E1622" s="1">
        <v>86427</v>
      </c>
      <c r="F1622" s="2">
        <v>38278</v>
      </c>
    </row>
    <row r="1623" spans="1:6" x14ac:dyDescent="0.25">
      <c r="A1623">
        <v>2017</v>
      </c>
      <c r="B1623" t="s">
        <v>54</v>
      </c>
      <c r="C1623" t="s">
        <v>40</v>
      </c>
      <c r="D1623" s="1">
        <v>39250</v>
      </c>
      <c r="E1623" s="1">
        <v>618046</v>
      </c>
      <c r="F1623" s="2">
        <v>44773</v>
      </c>
    </row>
    <row r="1624" spans="1:6" x14ac:dyDescent="0.25">
      <c r="A1624">
        <v>2017</v>
      </c>
      <c r="B1624" t="s">
        <v>54</v>
      </c>
      <c r="C1624" t="s">
        <v>41</v>
      </c>
      <c r="D1624" s="1">
        <v>145842</v>
      </c>
      <c r="E1624" s="1">
        <v>2432880</v>
      </c>
      <c r="F1624" s="2">
        <v>50316</v>
      </c>
    </row>
    <row r="1625" spans="1:6" x14ac:dyDescent="0.25">
      <c r="A1625">
        <v>2017</v>
      </c>
      <c r="B1625" t="s">
        <v>54</v>
      </c>
      <c r="C1625" t="s">
        <v>42</v>
      </c>
      <c r="D1625" s="1">
        <v>19048</v>
      </c>
      <c r="E1625" s="1">
        <v>276552</v>
      </c>
      <c r="F1625" s="2">
        <v>42378</v>
      </c>
    </row>
    <row r="1626" spans="1:6" x14ac:dyDescent="0.25">
      <c r="A1626">
        <v>2017</v>
      </c>
      <c r="B1626" t="s">
        <v>54</v>
      </c>
      <c r="C1626" t="s">
        <v>43</v>
      </c>
      <c r="D1626" s="1">
        <v>5138</v>
      </c>
      <c r="E1626" s="1">
        <v>55012</v>
      </c>
      <c r="F1626" s="2">
        <v>38650</v>
      </c>
    </row>
    <row r="1627" spans="1:6" x14ac:dyDescent="0.25">
      <c r="A1627">
        <v>2017</v>
      </c>
      <c r="B1627" t="s">
        <v>54</v>
      </c>
      <c r="C1627" t="s">
        <v>44</v>
      </c>
      <c r="D1627" s="1">
        <v>42996</v>
      </c>
      <c r="E1627" s="1">
        <v>652711</v>
      </c>
      <c r="F1627" s="2">
        <v>42291</v>
      </c>
    </row>
    <row r="1628" spans="1:6" x14ac:dyDescent="0.25">
      <c r="A1628">
        <v>2017</v>
      </c>
      <c r="B1628" t="s">
        <v>54</v>
      </c>
      <c r="C1628" t="s">
        <v>45</v>
      </c>
      <c r="D1628" s="1">
        <v>39715</v>
      </c>
      <c r="E1628" s="1">
        <v>610599</v>
      </c>
      <c r="F1628" s="2">
        <v>58924</v>
      </c>
    </row>
    <row r="1629" spans="1:6" x14ac:dyDescent="0.25">
      <c r="A1629">
        <v>2017</v>
      </c>
      <c r="B1629" t="s">
        <v>54</v>
      </c>
      <c r="C1629" t="s">
        <v>46</v>
      </c>
      <c r="D1629" s="1">
        <v>10925</v>
      </c>
      <c r="E1629" s="1">
        <v>129300</v>
      </c>
      <c r="F1629" s="2">
        <v>37489</v>
      </c>
    </row>
    <row r="1630" spans="1:6" x14ac:dyDescent="0.25">
      <c r="A1630">
        <v>2017</v>
      </c>
      <c r="B1630" t="s">
        <v>54</v>
      </c>
      <c r="C1630" t="s">
        <v>47</v>
      </c>
      <c r="D1630" s="1">
        <v>35433</v>
      </c>
      <c r="E1630" s="1">
        <v>539603</v>
      </c>
      <c r="F1630" s="2">
        <v>39831</v>
      </c>
    </row>
    <row r="1631" spans="1:6" x14ac:dyDescent="0.25">
      <c r="A1631">
        <v>2017</v>
      </c>
      <c r="B1631" t="s">
        <v>54</v>
      </c>
      <c r="C1631" t="s">
        <v>48</v>
      </c>
      <c r="D1631" s="1">
        <v>4822</v>
      </c>
      <c r="E1631" s="1">
        <v>49799</v>
      </c>
      <c r="F1631" s="2">
        <v>40999</v>
      </c>
    </row>
    <row r="1632" spans="1:6" x14ac:dyDescent="0.25">
      <c r="A1632">
        <v>2017</v>
      </c>
      <c r="B1632" t="s">
        <v>53</v>
      </c>
      <c r="C1632" t="s">
        <v>1</v>
      </c>
      <c r="D1632" s="1">
        <v>1969</v>
      </c>
      <c r="E1632" s="1">
        <v>20807</v>
      </c>
      <c r="F1632" s="2">
        <v>58932</v>
      </c>
    </row>
    <row r="1633" spans="1:6" x14ac:dyDescent="0.25">
      <c r="A1633">
        <v>2017</v>
      </c>
      <c r="B1633" t="s">
        <v>53</v>
      </c>
      <c r="C1633" t="s">
        <v>2</v>
      </c>
      <c r="D1633" s="1">
        <v>2461</v>
      </c>
      <c r="E1633" s="1">
        <v>44962</v>
      </c>
      <c r="F1633" s="2">
        <v>71171</v>
      </c>
    </row>
    <row r="1634" spans="1:6" x14ac:dyDescent="0.25">
      <c r="A1634">
        <v>2017</v>
      </c>
      <c r="B1634" t="s">
        <v>53</v>
      </c>
      <c r="C1634" t="s">
        <v>3</v>
      </c>
      <c r="D1634" s="1">
        <v>1123</v>
      </c>
      <c r="E1634" s="1">
        <v>12766</v>
      </c>
      <c r="F1634" s="2">
        <v>56682</v>
      </c>
    </row>
    <row r="1635" spans="1:6" x14ac:dyDescent="0.25">
      <c r="A1635">
        <v>2017</v>
      </c>
      <c r="B1635" t="s">
        <v>53</v>
      </c>
      <c r="C1635" t="s">
        <v>4</v>
      </c>
      <c r="D1635" s="1">
        <v>22519</v>
      </c>
      <c r="E1635" s="1">
        <v>513029</v>
      </c>
      <c r="F1635" s="2">
        <v>172309</v>
      </c>
    </row>
    <row r="1636" spans="1:6" x14ac:dyDescent="0.25">
      <c r="A1636">
        <v>2017</v>
      </c>
      <c r="B1636" t="s">
        <v>53</v>
      </c>
      <c r="C1636" t="s">
        <v>5</v>
      </c>
      <c r="D1636" s="1">
        <v>3891</v>
      </c>
      <c r="E1636" s="1">
        <v>71641</v>
      </c>
      <c r="F1636" s="2">
        <v>100781</v>
      </c>
    </row>
    <row r="1637" spans="1:6" x14ac:dyDescent="0.25">
      <c r="A1637">
        <v>2017</v>
      </c>
      <c r="B1637" t="s">
        <v>53</v>
      </c>
      <c r="C1637" t="s">
        <v>6</v>
      </c>
      <c r="D1637" s="1">
        <v>2146</v>
      </c>
      <c r="E1637" s="1">
        <v>31542</v>
      </c>
      <c r="F1637" s="2">
        <v>103094</v>
      </c>
    </row>
    <row r="1638" spans="1:6" x14ac:dyDescent="0.25">
      <c r="A1638">
        <v>2017</v>
      </c>
      <c r="B1638" t="s">
        <v>53</v>
      </c>
      <c r="C1638" t="s">
        <v>7</v>
      </c>
      <c r="D1638">
        <v>409</v>
      </c>
      <c r="E1638" s="1">
        <v>4560</v>
      </c>
      <c r="F1638" s="2">
        <v>64686</v>
      </c>
    </row>
    <row r="1639" spans="1:6" x14ac:dyDescent="0.25">
      <c r="A1639">
        <v>2017</v>
      </c>
      <c r="B1639" t="s">
        <v>53</v>
      </c>
      <c r="C1639" t="s">
        <v>8</v>
      </c>
      <c r="D1639" s="1">
        <v>10983</v>
      </c>
      <c r="E1639" s="1">
        <v>138039</v>
      </c>
      <c r="F1639" s="2">
        <v>80305</v>
      </c>
    </row>
    <row r="1640" spans="1:6" x14ac:dyDescent="0.25">
      <c r="A1640">
        <v>2017</v>
      </c>
      <c r="B1640" t="s">
        <v>53</v>
      </c>
      <c r="C1640" t="s">
        <v>9</v>
      </c>
      <c r="D1640" s="1">
        <v>4911</v>
      </c>
      <c r="E1640" s="1">
        <v>116074</v>
      </c>
      <c r="F1640" s="2">
        <v>96306</v>
      </c>
    </row>
    <row r="1641" spans="1:6" x14ac:dyDescent="0.25">
      <c r="A1641">
        <v>2017</v>
      </c>
      <c r="B1641" t="s">
        <v>53</v>
      </c>
      <c r="C1641" t="s">
        <v>10</v>
      </c>
      <c r="D1641" s="1">
        <v>1175</v>
      </c>
      <c r="E1641" s="1">
        <v>8923</v>
      </c>
      <c r="F1641" s="2">
        <v>51032</v>
      </c>
    </row>
    <row r="1642" spans="1:6" x14ac:dyDescent="0.25">
      <c r="A1642">
        <v>2017</v>
      </c>
      <c r="B1642" t="s">
        <v>53</v>
      </c>
      <c r="C1642" t="s">
        <v>11</v>
      </c>
      <c r="D1642" s="1">
        <v>6534</v>
      </c>
      <c r="E1642" s="1">
        <v>96181</v>
      </c>
      <c r="F1642" s="2">
        <v>85328</v>
      </c>
    </row>
    <row r="1643" spans="1:6" x14ac:dyDescent="0.25">
      <c r="A1643">
        <v>2017</v>
      </c>
      <c r="B1643" t="s">
        <v>53</v>
      </c>
      <c r="C1643" t="s">
        <v>12</v>
      </c>
      <c r="D1643" s="1">
        <v>2019</v>
      </c>
      <c r="E1643" s="1">
        <v>31465</v>
      </c>
      <c r="F1643" s="2">
        <v>59391</v>
      </c>
    </row>
    <row r="1644" spans="1:6" x14ac:dyDescent="0.25">
      <c r="A1644">
        <v>2017</v>
      </c>
      <c r="B1644" t="s">
        <v>53</v>
      </c>
      <c r="C1644" t="s">
        <v>13</v>
      </c>
      <c r="D1644" s="1">
        <v>1698</v>
      </c>
      <c r="E1644" s="1">
        <v>21891</v>
      </c>
      <c r="F1644" s="2">
        <v>55957</v>
      </c>
    </row>
    <row r="1645" spans="1:6" x14ac:dyDescent="0.25">
      <c r="A1645">
        <v>2017</v>
      </c>
      <c r="B1645" t="s">
        <v>53</v>
      </c>
      <c r="C1645" t="s">
        <v>14</v>
      </c>
      <c r="D1645" s="1">
        <v>1260</v>
      </c>
      <c r="E1645" s="1">
        <v>19279</v>
      </c>
      <c r="F1645" s="2">
        <v>61084</v>
      </c>
    </row>
    <row r="1646" spans="1:6" x14ac:dyDescent="0.25">
      <c r="A1646">
        <v>2017</v>
      </c>
      <c r="B1646" t="s">
        <v>53</v>
      </c>
      <c r="C1646" t="s">
        <v>15</v>
      </c>
      <c r="D1646" s="1">
        <v>1697</v>
      </c>
      <c r="E1646" s="1">
        <v>22698</v>
      </c>
      <c r="F1646" s="2">
        <v>54857</v>
      </c>
    </row>
    <row r="1647" spans="1:6" x14ac:dyDescent="0.25">
      <c r="A1647">
        <v>2017</v>
      </c>
      <c r="B1647" t="s">
        <v>53</v>
      </c>
      <c r="C1647" t="s">
        <v>16</v>
      </c>
      <c r="D1647" s="1">
        <v>1650</v>
      </c>
      <c r="E1647" s="1">
        <v>22941</v>
      </c>
      <c r="F1647" s="2">
        <v>55038</v>
      </c>
    </row>
    <row r="1648" spans="1:6" x14ac:dyDescent="0.25">
      <c r="A1648">
        <v>2017</v>
      </c>
      <c r="B1648" t="s">
        <v>53</v>
      </c>
      <c r="C1648" t="s">
        <v>17</v>
      </c>
      <c r="D1648">
        <v>843</v>
      </c>
      <c r="E1648" s="1">
        <v>7340</v>
      </c>
      <c r="F1648" s="2">
        <v>52561</v>
      </c>
    </row>
    <row r="1649" spans="1:6" x14ac:dyDescent="0.25">
      <c r="A1649">
        <v>2017</v>
      </c>
      <c r="B1649" t="s">
        <v>53</v>
      </c>
      <c r="C1649" t="s">
        <v>18</v>
      </c>
      <c r="D1649" s="1">
        <v>2719</v>
      </c>
      <c r="E1649" s="1">
        <v>37583</v>
      </c>
      <c r="F1649" s="2">
        <v>88009</v>
      </c>
    </row>
    <row r="1650" spans="1:6" x14ac:dyDescent="0.25">
      <c r="A1650">
        <v>2017</v>
      </c>
      <c r="B1650" t="s">
        <v>53</v>
      </c>
      <c r="C1650" t="s">
        <v>19</v>
      </c>
      <c r="D1650" s="1">
        <v>5143</v>
      </c>
      <c r="E1650" s="1">
        <v>91861</v>
      </c>
      <c r="F1650" s="2">
        <v>114166</v>
      </c>
    </row>
    <row r="1651" spans="1:6" x14ac:dyDescent="0.25">
      <c r="A1651">
        <v>2017</v>
      </c>
      <c r="B1651" t="s">
        <v>53</v>
      </c>
      <c r="C1651" t="s">
        <v>20</v>
      </c>
      <c r="D1651" s="1">
        <v>5934</v>
      </c>
      <c r="E1651" s="1">
        <v>56524</v>
      </c>
      <c r="F1651" s="2">
        <v>70884</v>
      </c>
    </row>
    <row r="1652" spans="1:6" x14ac:dyDescent="0.25">
      <c r="A1652">
        <v>2017</v>
      </c>
      <c r="B1652" t="s">
        <v>53</v>
      </c>
      <c r="C1652" t="s">
        <v>21</v>
      </c>
      <c r="D1652" s="1">
        <v>3663</v>
      </c>
      <c r="E1652" s="1">
        <v>50310</v>
      </c>
      <c r="F1652" s="2">
        <v>75459</v>
      </c>
    </row>
    <row r="1653" spans="1:6" x14ac:dyDescent="0.25">
      <c r="A1653">
        <v>2017</v>
      </c>
      <c r="B1653" t="s">
        <v>53</v>
      </c>
      <c r="C1653" t="s">
        <v>22</v>
      </c>
      <c r="D1653">
        <v>962</v>
      </c>
      <c r="E1653" s="1">
        <v>11593</v>
      </c>
      <c r="F1653" s="2">
        <v>48002</v>
      </c>
    </row>
    <row r="1654" spans="1:6" x14ac:dyDescent="0.25">
      <c r="A1654">
        <v>2017</v>
      </c>
      <c r="B1654" t="s">
        <v>53</v>
      </c>
      <c r="C1654" t="s">
        <v>23</v>
      </c>
      <c r="D1654" s="1">
        <v>3051</v>
      </c>
      <c r="E1654" s="1">
        <v>48249</v>
      </c>
      <c r="F1654" s="2">
        <v>73665</v>
      </c>
    </row>
    <row r="1655" spans="1:6" x14ac:dyDescent="0.25">
      <c r="A1655">
        <v>2017</v>
      </c>
      <c r="B1655" t="s">
        <v>53</v>
      </c>
      <c r="C1655" t="s">
        <v>24</v>
      </c>
      <c r="D1655">
        <v>759</v>
      </c>
      <c r="E1655" s="1">
        <v>6394</v>
      </c>
      <c r="F1655" s="2">
        <v>51903</v>
      </c>
    </row>
    <row r="1656" spans="1:6" x14ac:dyDescent="0.25">
      <c r="A1656">
        <v>2017</v>
      </c>
      <c r="B1656" t="s">
        <v>53</v>
      </c>
      <c r="C1656" t="s">
        <v>25</v>
      </c>
      <c r="D1656">
        <v>964</v>
      </c>
      <c r="E1656" s="1">
        <v>18204</v>
      </c>
      <c r="F1656" s="2">
        <v>61365</v>
      </c>
    </row>
    <row r="1657" spans="1:6" x14ac:dyDescent="0.25">
      <c r="A1657">
        <v>2017</v>
      </c>
      <c r="B1657" t="s">
        <v>53</v>
      </c>
      <c r="C1657" t="s">
        <v>26</v>
      </c>
      <c r="D1657" s="1">
        <v>1440</v>
      </c>
      <c r="E1657" s="1">
        <v>14735</v>
      </c>
      <c r="F1657" s="2">
        <v>65866</v>
      </c>
    </row>
    <row r="1658" spans="1:6" x14ac:dyDescent="0.25">
      <c r="A1658">
        <v>2017</v>
      </c>
      <c r="B1658" t="s">
        <v>53</v>
      </c>
      <c r="C1658" t="s">
        <v>27</v>
      </c>
      <c r="D1658">
        <v>843</v>
      </c>
      <c r="E1658" s="1">
        <v>12554</v>
      </c>
      <c r="F1658" s="2">
        <v>88119</v>
      </c>
    </row>
    <row r="1659" spans="1:6" x14ac:dyDescent="0.25">
      <c r="A1659">
        <v>2017</v>
      </c>
      <c r="B1659" t="s">
        <v>53</v>
      </c>
      <c r="C1659" t="s">
        <v>28</v>
      </c>
      <c r="D1659" s="1">
        <v>3595</v>
      </c>
      <c r="E1659" s="1">
        <v>70379</v>
      </c>
      <c r="F1659" s="2">
        <v>108638</v>
      </c>
    </row>
    <row r="1660" spans="1:6" x14ac:dyDescent="0.25">
      <c r="A1660">
        <v>2017</v>
      </c>
      <c r="B1660" t="s">
        <v>53</v>
      </c>
      <c r="C1660" t="s">
        <v>29</v>
      </c>
      <c r="D1660">
        <v>929</v>
      </c>
      <c r="E1660" s="1">
        <v>12398</v>
      </c>
      <c r="F1660" s="2">
        <v>51009</v>
      </c>
    </row>
    <row r="1661" spans="1:6" x14ac:dyDescent="0.25">
      <c r="A1661">
        <v>2017</v>
      </c>
      <c r="B1661" t="s">
        <v>53</v>
      </c>
      <c r="C1661" t="s">
        <v>30</v>
      </c>
      <c r="D1661" s="1">
        <v>12397</v>
      </c>
      <c r="E1661" s="1">
        <v>269233</v>
      </c>
      <c r="F1661" s="2">
        <v>119508</v>
      </c>
    </row>
    <row r="1662" spans="1:6" x14ac:dyDescent="0.25">
      <c r="A1662">
        <v>2017</v>
      </c>
      <c r="B1662" t="s">
        <v>53</v>
      </c>
      <c r="C1662" t="s">
        <v>31</v>
      </c>
      <c r="D1662" s="1">
        <v>5042</v>
      </c>
      <c r="E1662" s="1">
        <v>78826</v>
      </c>
      <c r="F1662" s="2">
        <v>80496</v>
      </c>
    </row>
    <row r="1663" spans="1:6" x14ac:dyDescent="0.25">
      <c r="A1663">
        <v>2017</v>
      </c>
      <c r="B1663" t="s">
        <v>53</v>
      </c>
      <c r="C1663" t="s">
        <v>32</v>
      </c>
      <c r="D1663">
        <v>396</v>
      </c>
      <c r="E1663" s="1">
        <v>6502</v>
      </c>
      <c r="F1663" s="2">
        <v>65114</v>
      </c>
    </row>
    <row r="1664" spans="1:6" x14ac:dyDescent="0.25">
      <c r="A1664">
        <v>2017</v>
      </c>
      <c r="B1664" t="s">
        <v>53</v>
      </c>
      <c r="C1664" t="s">
        <v>33</v>
      </c>
      <c r="D1664" s="1">
        <v>4456</v>
      </c>
      <c r="E1664" s="1">
        <v>71562</v>
      </c>
      <c r="F1664" s="2">
        <v>67912</v>
      </c>
    </row>
    <row r="1665" spans="1:6" x14ac:dyDescent="0.25">
      <c r="A1665">
        <v>2017</v>
      </c>
      <c r="B1665" t="s">
        <v>53</v>
      </c>
      <c r="C1665" t="s">
        <v>34</v>
      </c>
      <c r="D1665" s="1">
        <v>1491</v>
      </c>
      <c r="E1665" s="1">
        <v>20417</v>
      </c>
      <c r="F1665" s="2">
        <v>57922</v>
      </c>
    </row>
    <row r="1666" spans="1:6" x14ac:dyDescent="0.25">
      <c r="A1666">
        <v>2017</v>
      </c>
      <c r="B1666" t="s">
        <v>53</v>
      </c>
      <c r="C1666" t="s">
        <v>35</v>
      </c>
      <c r="D1666" s="1">
        <v>3521</v>
      </c>
      <c r="E1666" s="1">
        <v>34177</v>
      </c>
      <c r="F1666" s="2">
        <v>80210</v>
      </c>
    </row>
    <row r="1667" spans="1:6" x14ac:dyDescent="0.25">
      <c r="A1667">
        <v>2017</v>
      </c>
      <c r="B1667" t="s">
        <v>53</v>
      </c>
      <c r="C1667" t="s">
        <v>36</v>
      </c>
      <c r="D1667" s="1">
        <v>4664</v>
      </c>
      <c r="E1667" s="1">
        <v>83352</v>
      </c>
      <c r="F1667" s="2">
        <v>78987</v>
      </c>
    </row>
    <row r="1668" spans="1:6" x14ac:dyDescent="0.25">
      <c r="A1668">
        <v>2017</v>
      </c>
      <c r="B1668" t="s">
        <v>53</v>
      </c>
      <c r="C1668" t="s">
        <v>37</v>
      </c>
      <c r="D1668">
        <v>745</v>
      </c>
      <c r="E1668" s="1">
        <v>6125</v>
      </c>
      <c r="F1668" s="2">
        <v>70660</v>
      </c>
    </row>
    <row r="1669" spans="1:6" x14ac:dyDescent="0.25">
      <c r="A1669">
        <v>2017</v>
      </c>
      <c r="B1669" t="s">
        <v>53</v>
      </c>
      <c r="C1669" t="s">
        <v>38</v>
      </c>
      <c r="D1669" s="1">
        <v>2430</v>
      </c>
      <c r="E1669" s="1">
        <v>27428</v>
      </c>
      <c r="F1669" s="2">
        <v>61428</v>
      </c>
    </row>
    <row r="1670" spans="1:6" x14ac:dyDescent="0.25">
      <c r="A1670">
        <v>2017</v>
      </c>
      <c r="B1670" t="s">
        <v>53</v>
      </c>
      <c r="C1670" t="s">
        <v>39</v>
      </c>
      <c r="D1670">
        <v>561</v>
      </c>
      <c r="E1670" s="1">
        <v>5720</v>
      </c>
      <c r="F1670" s="2">
        <v>47231</v>
      </c>
    </row>
    <row r="1671" spans="1:6" x14ac:dyDescent="0.25">
      <c r="A1671">
        <v>2017</v>
      </c>
      <c r="B1671" t="s">
        <v>53</v>
      </c>
      <c r="C1671" t="s">
        <v>40</v>
      </c>
      <c r="D1671" s="1">
        <v>3260</v>
      </c>
      <c r="E1671" s="1">
        <v>45482</v>
      </c>
      <c r="F1671" s="2">
        <v>68381</v>
      </c>
    </row>
    <row r="1672" spans="1:6" x14ac:dyDescent="0.25">
      <c r="A1672">
        <v>2017</v>
      </c>
      <c r="B1672" t="s">
        <v>53</v>
      </c>
      <c r="C1672" t="s">
        <v>41</v>
      </c>
      <c r="D1672" s="1">
        <v>9521</v>
      </c>
      <c r="E1672" s="1">
        <v>201873</v>
      </c>
      <c r="F1672" s="2">
        <v>84394</v>
      </c>
    </row>
    <row r="1673" spans="1:6" x14ac:dyDescent="0.25">
      <c r="A1673">
        <v>2017</v>
      </c>
      <c r="B1673" t="s">
        <v>53</v>
      </c>
      <c r="C1673" t="s">
        <v>42</v>
      </c>
      <c r="D1673" s="1">
        <v>2347</v>
      </c>
      <c r="E1673" s="1">
        <v>37185</v>
      </c>
      <c r="F1673" s="2">
        <v>71167</v>
      </c>
    </row>
    <row r="1674" spans="1:6" x14ac:dyDescent="0.25">
      <c r="A1674">
        <v>2017</v>
      </c>
      <c r="B1674" t="s">
        <v>53</v>
      </c>
      <c r="C1674" t="s">
        <v>43</v>
      </c>
      <c r="D1674">
        <v>503</v>
      </c>
      <c r="E1674" s="1">
        <v>4478</v>
      </c>
      <c r="F1674" s="2">
        <v>58372</v>
      </c>
    </row>
    <row r="1675" spans="1:6" x14ac:dyDescent="0.25">
      <c r="A1675">
        <v>2017</v>
      </c>
      <c r="B1675" t="s">
        <v>53</v>
      </c>
      <c r="C1675" t="s">
        <v>44</v>
      </c>
      <c r="D1675" s="1">
        <v>4222</v>
      </c>
      <c r="E1675" s="1">
        <v>67623</v>
      </c>
      <c r="F1675" s="2">
        <v>98219</v>
      </c>
    </row>
    <row r="1676" spans="1:6" x14ac:dyDescent="0.25">
      <c r="A1676">
        <v>2017</v>
      </c>
      <c r="B1676" t="s">
        <v>53</v>
      </c>
      <c r="C1676" t="s">
        <v>45</v>
      </c>
      <c r="D1676" s="1">
        <v>4271</v>
      </c>
      <c r="E1676" s="1">
        <v>125798</v>
      </c>
      <c r="F1676" s="2">
        <v>172513</v>
      </c>
    </row>
    <row r="1677" spans="1:6" x14ac:dyDescent="0.25">
      <c r="A1677">
        <v>2017</v>
      </c>
      <c r="B1677" t="s">
        <v>53</v>
      </c>
      <c r="C1677" t="s">
        <v>46</v>
      </c>
      <c r="D1677">
        <v>764</v>
      </c>
      <c r="E1677" s="1">
        <v>8615</v>
      </c>
      <c r="F1677" s="2">
        <v>50474</v>
      </c>
    </row>
    <row r="1678" spans="1:6" x14ac:dyDescent="0.25">
      <c r="A1678">
        <v>2017</v>
      </c>
      <c r="B1678" t="s">
        <v>53</v>
      </c>
      <c r="C1678" t="s">
        <v>47</v>
      </c>
      <c r="D1678" s="1">
        <v>2126</v>
      </c>
      <c r="E1678" s="1">
        <v>47658</v>
      </c>
      <c r="F1678" s="2">
        <v>71912</v>
      </c>
    </row>
    <row r="1679" spans="1:6" x14ac:dyDescent="0.25">
      <c r="A1679">
        <v>2017</v>
      </c>
      <c r="B1679" t="s">
        <v>53</v>
      </c>
      <c r="C1679" t="s">
        <v>48</v>
      </c>
      <c r="D1679">
        <v>389</v>
      </c>
      <c r="E1679" s="1">
        <v>3680</v>
      </c>
      <c r="F1679" s="2">
        <v>46375</v>
      </c>
    </row>
    <row r="1680" spans="1:6" x14ac:dyDescent="0.25">
      <c r="A1680">
        <v>2017</v>
      </c>
      <c r="B1680" t="s">
        <v>56</v>
      </c>
      <c r="C1680" t="s">
        <v>1</v>
      </c>
      <c r="D1680" s="1">
        <v>13089</v>
      </c>
      <c r="E1680" s="1">
        <v>94756</v>
      </c>
      <c r="F1680" s="2">
        <v>66324</v>
      </c>
    </row>
    <row r="1681" spans="1:6" x14ac:dyDescent="0.25">
      <c r="A1681">
        <v>2017</v>
      </c>
      <c r="B1681" t="s">
        <v>56</v>
      </c>
      <c r="C1681" t="s">
        <v>2</v>
      </c>
      <c r="D1681" s="1">
        <v>15754</v>
      </c>
      <c r="E1681" s="1">
        <v>206540</v>
      </c>
      <c r="F1681" s="2">
        <v>68059</v>
      </c>
    </row>
    <row r="1682" spans="1:6" x14ac:dyDescent="0.25">
      <c r="A1682">
        <v>2017</v>
      </c>
      <c r="B1682" t="s">
        <v>56</v>
      </c>
      <c r="C1682" t="s">
        <v>3</v>
      </c>
      <c r="D1682" s="1">
        <v>8251</v>
      </c>
      <c r="E1682" s="1">
        <v>49596</v>
      </c>
      <c r="F1682" s="2">
        <v>55939</v>
      </c>
    </row>
    <row r="1683" spans="1:6" x14ac:dyDescent="0.25">
      <c r="A1683">
        <v>2017</v>
      </c>
      <c r="B1683" t="s">
        <v>56</v>
      </c>
      <c r="C1683" t="s">
        <v>4</v>
      </c>
      <c r="D1683" s="1">
        <v>98024</v>
      </c>
      <c r="E1683" s="1">
        <v>827494</v>
      </c>
      <c r="F1683" s="2">
        <v>104466</v>
      </c>
    </row>
    <row r="1684" spans="1:6" x14ac:dyDescent="0.25">
      <c r="A1684">
        <v>2017</v>
      </c>
      <c r="B1684" t="s">
        <v>56</v>
      </c>
      <c r="C1684" t="s">
        <v>5</v>
      </c>
      <c r="D1684" s="1">
        <v>22552</v>
      </c>
      <c r="E1684" s="1">
        <v>161870</v>
      </c>
      <c r="F1684" s="2">
        <v>81536</v>
      </c>
    </row>
    <row r="1685" spans="1:6" x14ac:dyDescent="0.25">
      <c r="A1685">
        <v>2017</v>
      </c>
      <c r="B1685" t="s">
        <v>56</v>
      </c>
      <c r="C1685" t="s">
        <v>6</v>
      </c>
      <c r="D1685" s="1">
        <v>10779</v>
      </c>
      <c r="E1685" s="1">
        <v>126051</v>
      </c>
      <c r="F1685" s="2">
        <v>152598</v>
      </c>
    </row>
    <row r="1686" spans="1:6" x14ac:dyDescent="0.25">
      <c r="A1686">
        <v>2017</v>
      </c>
      <c r="B1686" t="s">
        <v>56</v>
      </c>
      <c r="C1686" t="s">
        <v>7</v>
      </c>
      <c r="D1686" s="1">
        <v>2800</v>
      </c>
      <c r="E1686" s="1">
        <v>47894</v>
      </c>
      <c r="F1686" s="2">
        <v>92267</v>
      </c>
    </row>
    <row r="1687" spans="1:6" x14ac:dyDescent="0.25">
      <c r="A1687">
        <v>2017</v>
      </c>
      <c r="B1687" t="s">
        <v>56</v>
      </c>
      <c r="C1687" t="s">
        <v>8</v>
      </c>
      <c r="D1687" s="1">
        <v>71616</v>
      </c>
      <c r="E1687" s="1">
        <v>556510</v>
      </c>
      <c r="F1687" s="2">
        <v>72708</v>
      </c>
    </row>
    <row r="1688" spans="1:6" x14ac:dyDescent="0.25">
      <c r="A1688">
        <v>2017</v>
      </c>
      <c r="B1688" t="s">
        <v>56</v>
      </c>
      <c r="C1688" t="s">
        <v>9</v>
      </c>
      <c r="D1688" s="1">
        <v>25978</v>
      </c>
      <c r="E1688" s="1">
        <v>233995</v>
      </c>
      <c r="F1688" s="2">
        <v>81197</v>
      </c>
    </row>
    <row r="1689" spans="1:6" x14ac:dyDescent="0.25">
      <c r="A1689">
        <v>2017</v>
      </c>
      <c r="B1689" t="s">
        <v>56</v>
      </c>
      <c r="C1689" t="s">
        <v>10</v>
      </c>
      <c r="D1689" s="1">
        <v>5522</v>
      </c>
      <c r="E1689" s="1">
        <v>31064</v>
      </c>
      <c r="F1689" s="2">
        <v>53820</v>
      </c>
    </row>
    <row r="1690" spans="1:6" x14ac:dyDescent="0.25">
      <c r="A1690">
        <v>2017</v>
      </c>
      <c r="B1690" t="s">
        <v>56</v>
      </c>
      <c r="C1690" t="s">
        <v>11</v>
      </c>
      <c r="D1690" s="1">
        <v>32114</v>
      </c>
      <c r="E1690" s="1">
        <v>370517</v>
      </c>
      <c r="F1690" s="2">
        <v>104689</v>
      </c>
    </row>
    <row r="1691" spans="1:6" x14ac:dyDescent="0.25">
      <c r="A1691">
        <v>2017</v>
      </c>
      <c r="B1691" t="s">
        <v>56</v>
      </c>
      <c r="C1691" t="s">
        <v>12</v>
      </c>
      <c r="D1691" s="1">
        <v>16124</v>
      </c>
      <c r="E1691" s="1">
        <v>131758</v>
      </c>
      <c r="F1691" s="2">
        <v>62518</v>
      </c>
    </row>
    <row r="1692" spans="1:6" x14ac:dyDescent="0.25">
      <c r="A1692">
        <v>2017</v>
      </c>
      <c r="B1692" t="s">
        <v>56</v>
      </c>
      <c r="C1692" t="s">
        <v>13</v>
      </c>
      <c r="D1692" s="1">
        <v>9983</v>
      </c>
      <c r="E1692" s="1">
        <v>108983</v>
      </c>
      <c r="F1692" s="2">
        <v>71597</v>
      </c>
    </row>
    <row r="1693" spans="1:6" x14ac:dyDescent="0.25">
      <c r="A1693">
        <v>2017</v>
      </c>
      <c r="B1693" t="s">
        <v>56</v>
      </c>
      <c r="C1693" t="s">
        <v>14</v>
      </c>
      <c r="D1693" s="1">
        <v>8858</v>
      </c>
      <c r="E1693" s="1">
        <v>74321</v>
      </c>
      <c r="F1693" s="2">
        <v>65845</v>
      </c>
    </row>
    <row r="1694" spans="1:6" x14ac:dyDescent="0.25">
      <c r="A1694">
        <v>2017</v>
      </c>
      <c r="B1694" t="s">
        <v>56</v>
      </c>
      <c r="C1694" t="s">
        <v>15</v>
      </c>
      <c r="D1694" s="1">
        <v>10845</v>
      </c>
      <c r="E1694" s="1">
        <v>93126</v>
      </c>
      <c r="F1694" s="2">
        <v>64967</v>
      </c>
    </row>
    <row r="1695" spans="1:6" x14ac:dyDescent="0.25">
      <c r="A1695">
        <v>2017</v>
      </c>
      <c r="B1695" t="s">
        <v>56</v>
      </c>
      <c r="C1695" t="s">
        <v>16</v>
      </c>
      <c r="D1695" s="1">
        <v>13618</v>
      </c>
      <c r="E1695" s="1">
        <v>85771</v>
      </c>
      <c r="F1695" s="2">
        <v>59758</v>
      </c>
    </row>
    <row r="1696" spans="1:6" x14ac:dyDescent="0.25">
      <c r="A1696">
        <v>2017</v>
      </c>
      <c r="B1696" t="s">
        <v>56</v>
      </c>
      <c r="C1696" t="s">
        <v>17</v>
      </c>
      <c r="D1696" s="1">
        <v>3827</v>
      </c>
      <c r="E1696" s="1">
        <v>29417</v>
      </c>
      <c r="F1696" s="2">
        <v>65934</v>
      </c>
    </row>
    <row r="1697" spans="1:6" x14ac:dyDescent="0.25">
      <c r="A1697">
        <v>2017</v>
      </c>
      <c r="B1697" t="s">
        <v>56</v>
      </c>
      <c r="C1697" t="s">
        <v>18</v>
      </c>
      <c r="D1697" s="1">
        <v>15099</v>
      </c>
      <c r="E1697" s="1">
        <v>140287</v>
      </c>
      <c r="F1697" s="2">
        <v>90791</v>
      </c>
    </row>
    <row r="1698" spans="1:6" x14ac:dyDescent="0.25">
      <c r="A1698">
        <v>2017</v>
      </c>
      <c r="B1698" t="s">
        <v>56</v>
      </c>
      <c r="C1698" t="s">
        <v>19</v>
      </c>
      <c r="D1698" s="1">
        <v>17270</v>
      </c>
      <c r="E1698" s="1">
        <v>216567</v>
      </c>
      <c r="F1698" s="2">
        <v>136040</v>
      </c>
    </row>
    <row r="1699" spans="1:6" x14ac:dyDescent="0.25">
      <c r="A1699">
        <v>2017</v>
      </c>
      <c r="B1699" t="s">
        <v>56</v>
      </c>
      <c r="C1699" t="s">
        <v>20</v>
      </c>
      <c r="D1699" s="1">
        <v>18942</v>
      </c>
      <c r="E1699" s="1">
        <v>202358</v>
      </c>
      <c r="F1699" s="2">
        <v>69275</v>
      </c>
    </row>
    <row r="1700" spans="1:6" x14ac:dyDescent="0.25">
      <c r="A1700">
        <v>2017</v>
      </c>
      <c r="B1700" t="s">
        <v>56</v>
      </c>
      <c r="C1700" t="s">
        <v>21</v>
      </c>
      <c r="D1700" s="1">
        <v>15467</v>
      </c>
      <c r="E1700" s="1">
        <v>175945</v>
      </c>
      <c r="F1700" s="2">
        <v>91036</v>
      </c>
    </row>
    <row r="1701" spans="1:6" x14ac:dyDescent="0.25">
      <c r="A1701">
        <v>2017</v>
      </c>
      <c r="B1701" t="s">
        <v>56</v>
      </c>
      <c r="C1701" t="s">
        <v>22</v>
      </c>
      <c r="D1701" s="1">
        <v>7854</v>
      </c>
      <c r="E1701" s="1">
        <v>42981</v>
      </c>
      <c r="F1701" s="2">
        <v>51222</v>
      </c>
    </row>
    <row r="1702" spans="1:6" x14ac:dyDescent="0.25">
      <c r="A1702">
        <v>2017</v>
      </c>
      <c r="B1702" t="s">
        <v>56</v>
      </c>
      <c r="C1702" t="s">
        <v>23</v>
      </c>
      <c r="D1702" s="1">
        <v>17661</v>
      </c>
      <c r="E1702" s="1">
        <v>163353</v>
      </c>
      <c r="F1702" s="2">
        <v>68974</v>
      </c>
    </row>
    <row r="1703" spans="1:6" x14ac:dyDescent="0.25">
      <c r="A1703">
        <v>2017</v>
      </c>
      <c r="B1703" t="s">
        <v>56</v>
      </c>
      <c r="C1703" t="s">
        <v>24</v>
      </c>
      <c r="D1703" s="1">
        <v>4178</v>
      </c>
      <c r="E1703" s="1">
        <v>20935</v>
      </c>
      <c r="F1703" s="2">
        <v>56708</v>
      </c>
    </row>
    <row r="1704" spans="1:6" x14ac:dyDescent="0.25">
      <c r="A1704">
        <v>2017</v>
      </c>
      <c r="B1704" t="s">
        <v>56</v>
      </c>
      <c r="C1704" t="s">
        <v>25</v>
      </c>
      <c r="D1704" s="1">
        <v>6481</v>
      </c>
      <c r="E1704" s="1">
        <v>66237</v>
      </c>
      <c r="F1704" s="2">
        <v>63484</v>
      </c>
    </row>
    <row r="1705" spans="1:6" x14ac:dyDescent="0.25">
      <c r="A1705">
        <v>2017</v>
      </c>
      <c r="B1705" t="s">
        <v>56</v>
      </c>
      <c r="C1705" t="s">
        <v>26</v>
      </c>
      <c r="D1705" s="1">
        <v>8856</v>
      </c>
      <c r="E1705" s="1">
        <v>61375</v>
      </c>
      <c r="F1705" s="2">
        <v>63979</v>
      </c>
    </row>
    <row r="1706" spans="1:6" x14ac:dyDescent="0.25">
      <c r="A1706">
        <v>2017</v>
      </c>
      <c r="B1706" t="s">
        <v>56</v>
      </c>
      <c r="C1706" t="s">
        <v>27</v>
      </c>
      <c r="D1706" s="1">
        <v>3835</v>
      </c>
      <c r="E1706" s="1">
        <v>33894</v>
      </c>
      <c r="F1706" s="2">
        <v>91139</v>
      </c>
    </row>
    <row r="1707" spans="1:6" x14ac:dyDescent="0.25">
      <c r="A1707">
        <v>2017</v>
      </c>
      <c r="B1707" t="s">
        <v>56</v>
      </c>
      <c r="C1707" t="s">
        <v>28</v>
      </c>
      <c r="D1707" s="1">
        <v>19625</v>
      </c>
      <c r="E1707" s="1">
        <v>241026</v>
      </c>
      <c r="F1707" s="2">
        <v>111862</v>
      </c>
    </row>
    <row r="1708" spans="1:6" x14ac:dyDescent="0.25">
      <c r="A1708">
        <v>2017</v>
      </c>
      <c r="B1708" t="s">
        <v>56</v>
      </c>
      <c r="C1708" t="s">
        <v>29</v>
      </c>
      <c r="D1708" s="1">
        <v>5092</v>
      </c>
      <c r="E1708" s="1">
        <v>32604</v>
      </c>
      <c r="F1708" s="2">
        <v>53932</v>
      </c>
    </row>
    <row r="1709" spans="1:6" x14ac:dyDescent="0.25">
      <c r="A1709">
        <v>2017</v>
      </c>
      <c r="B1709" t="s">
        <v>56</v>
      </c>
      <c r="C1709" t="s">
        <v>30</v>
      </c>
      <c r="D1709" s="1">
        <v>65326</v>
      </c>
      <c r="E1709" s="1">
        <v>708995</v>
      </c>
      <c r="F1709" s="2">
        <v>189559</v>
      </c>
    </row>
    <row r="1710" spans="1:6" x14ac:dyDescent="0.25">
      <c r="A1710">
        <v>2017</v>
      </c>
      <c r="B1710" t="s">
        <v>56</v>
      </c>
      <c r="C1710" t="s">
        <v>31</v>
      </c>
      <c r="D1710" s="1">
        <v>27332</v>
      </c>
      <c r="E1710" s="1">
        <v>226679</v>
      </c>
      <c r="F1710" s="2">
        <v>82975</v>
      </c>
    </row>
    <row r="1711" spans="1:6" x14ac:dyDescent="0.25">
      <c r="A1711">
        <v>2017</v>
      </c>
      <c r="B1711" t="s">
        <v>56</v>
      </c>
      <c r="C1711" t="s">
        <v>32</v>
      </c>
      <c r="D1711" s="1">
        <v>2979</v>
      </c>
      <c r="E1711" s="1">
        <v>23135</v>
      </c>
      <c r="F1711" s="2">
        <v>60044</v>
      </c>
    </row>
    <row r="1712" spans="1:6" x14ac:dyDescent="0.25">
      <c r="A1712">
        <v>2017</v>
      </c>
      <c r="B1712" t="s">
        <v>56</v>
      </c>
      <c r="C1712" t="s">
        <v>33</v>
      </c>
      <c r="D1712" s="1">
        <v>28537</v>
      </c>
      <c r="E1712" s="1">
        <v>288615</v>
      </c>
      <c r="F1712" s="2">
        <v>69967</v>
      </c>
    </row>
    <row r="1713" spans="1:6" x14ac:dyDescent="0.25">
      <c r="A1713">
        <v>2017</v>
      </c>
      <c r="B1713" t="s">
        <v>56</v>
      </c>
      <c r="C1713" t="s">
        <v>34</v>
      </c>
      <c r="D1713" s="1">
        <v>11379</v>
      </c>
      <c r="E1713" s="1">
        <v>76757</v>
      </c>
      <c r="F1713" s="2">
        <v>56323</v>
      </c>
    </row>
    <row r="1714" spans="1:6" x14ac:dyDescent="0.25">
      <c r="A1714">
        <v>2017</v>
      </c>
      <c r="B1714" t="s">
        <v>56</v>
      </c>
      <c r="C1714" t="s">
        <v>35</v>
      </c>
      <c r="D1714" s="1">
        <v>12686</v>
      </c>
      <c r="E1714" s="1">
        <v>83715</v>
      </c>
      <c r="F1714" s="2">
        <v>67638</v>
      </c>
    </row>
    <row r="1715" spans="1:6" x14ac:dyDescent="0.25">
      <c r="A1715">
        <v>2017</v>
      </c>
      <c r="B1715" t="s">
        <v>56</v>
      </c>
      <c r="C1715" t="s">
        <v>36</v>
      </c>
      <c r="D1715" s="1">
        <v>28479</v>
      </c>
      <c r="E1715" s="1">
        <v>321121</v>
      </c>
      <c r="F1715" s="2">
        <v>85405</v>
      </c>
    </row>
    <row r="1716" spans="1:6" x14ac:dyDescent="0.25">
      <c r="A1716">
        <v>2017</v>
      </c>
      <c r="B1716" t="s">
        <v>56</v>
      </c>
      <c r="C1716" t="s">
        <v>37</v>
      </c>
      <c r="D1716" s="1">
        <v>2802</v>
      </c>
      <c r="E1716" s="1">
        <v>32758</v>
      </c>
      <c r="F1716" s="2">
        <v>89570</v>
      </c>
    </row>
    <row r="1717" spans="1:6" x14ac:dyDescent="0.25">
      <c r="A1717">
        <v>2017</v>
      </c>
      <c r="B1717" t="s">
        <v>56</v>
      </c>
      <c r="C1717" t="s">
        <v>38</v>
      </c>
      <c r="D1717" s="1">
        <v>12653</v>
      </c>
      <c r="E1717" s="1">
        <v>98790</v>
      </c>
      <c r="F1717" s="2">
        <v>59859</v>
      </c>
    </row>
    <row r="1718" spans="1:6" x14ac:dyDescent="0.25">
      <c r="A1718">
        <v>2017</v>
      </c>
      <c r="B1718" t="s">
        <v>56</v>
      </c>
      <c r="C1718" t="s">
        <v>39</v>
      </c>
      <c r="D1718" s="1">
        <v>3221</v>
      </c>
      <c r="E1718" s="1">
        <v>28761</v>
      </c>
      <c r="F1718" s="2">
        <v>57506</v>
      </c>
    </row>
    <row r="1719" spans="1:6" x14ac:dyDescent="0.25">
      <c r="A1719">
        <v>2017</v>
      </c>
      <c r="B1719" t="s">
        <v>56</v>
      </c>
      <c r="C1719" t="s">
        <v>40</v>
      </c>
      <c r="D1719" s="1">
        <v>15531</v>
      </c>
      <c r="E1719" s="1">
        <v>148433</v>
      </c>
      <c r="F1719" s="2">
        <v>71601</v>
      </c>
    </row>
    <row r="1720" spans="1:6" x14ac:dyDescent="0.25">
      <c r="A1720">
        <v>2017</v>
      </c>
      <c r="B1720" t="s">
        <v>56</v>
      </c>
      <c r="C1720" t="s">
        <v>41</v>
      </c>
      <c r="D1720" s="1">
        <v>71279</v>
      </c>
      <c r="E1720" s="1">
        <v>740328</v>
      </c>
      <c r="F1720" s="2">
        <v>80242</v>
      </c>
    </row>
    <row r="1721" spans="1:6" x14ac:dyDescent="0.25">
      <c r="A1721">
        <v>2017</v>
      </c>
      <c r="B1721" t="s">
        <v>56</v>
      </c>
      <c r="C1721" t="s">
        <v>42</v>
      </c>
      <c r="D1721" s="1">
        <v>11066</v>
      </c>
      <c r="E1721" s="1">
        <v>84072</v>
      </c>
      <c r="F1721" s="2">
        <v>64760</v>
      </c>
    </row>
    <row r="1722" spans="1:6" x14ac:dyDescent="0.25">
      <c r="A1722">
        <v>2017</v>
      </c>
      <c r="B1722" t="s">
        <v>56</v>
      </c>
      <c r="C1722" t="s">
        <v>43</v>
      </c>
      <c r="D1722" s="1">
        <v>1700</v>
      </c>
      <c r="E1722" s="1">
        <v>11731</v>
      </c>
      <c r="F1722" s="2">
        <v>70768</v>
      </c>
    </row>
    <row r="1723" spans="1:6" x14ac:dyDescent="0.25">
      <c r="A1723">
        <v>2017</v>
      </c>
      <c r="B1723" t="s">
        <v>56</v>
      </c>
      <c r="C1723" t="s">
        <v>44</v>
      </c>
      <c r="D1723" s="1">
        <v>21609</v>
      </c>
      <c r="E1723" s="1">
        <v>192079</v>
      </c>
      <c r="F1723" s="2">
        <v>82201</v>
      </c>
    </row>
    <row r="1724" spans="1:6" x14ac:dyDescent="0.25">
      <c r="A1724">
        <v>2017</v>
      </c>
      <c r="B1724" t="s">
        <v>56</v>
      </c>
      <c r="C1724" t="s">
        <v>45</v>
      </c>
      <c r="D1724" s="1">
        <v>17184</v>
      </c>
      <c r="E1724" s="1">
        <v>144458</v>
      </c>
      <c r="F1724" s="2">
        <v>76957</v>
      </c>
    </row>
    <row r="1725" spans="1:6" x14ac:dyDescent="0.25">
      <c r="A1725">
        <v>2017</v>
      </c>
      <c r="B1725" t="s">
        <v>56</v>
      </c>
      <c r="C1725" t="s">
        <v>46</v>
      </c>
      <c r="D1725" s="1">
        <v>3992</v>
      </c>
      <c r="E1725" s="1">
        <v>24123</v>
      </c>
      <c r="F1725" s="2">
        <v>50354</v>
      </c>
    </row>
    <row r="1726" spans="1:6" x14ac:dyDescent="0.25">
      <c r="A1726">
        <v>2017</v>
      </c>
      <c r="B1726" t="s">
        <v>56</v>
      </c>
      <c r="C1726" t="s">
        <v>47</v>
      </c>
      <c r="D1726" s="1">
        <v>13244</v>
      </c>
      <c r="E1726" s="1">
        <v>148873</v>
      </c>
      <c r="F1726" s="2">
        <v>68759</v>
      </c>
    </row>
    <row r="1727" spans="1:6" x14ac:dyDescent="0.25">
      <c r="A1727">
        <v>2017</v>
      </c>
      <c r="B1727" t="s">
        <v>56</v>
      </c>
      <c r="C1727" t="s">
        <v>48</v>
      </c>
      <c r="D1727" s="1">
        <v>2248</v>
      </c>
      <c r="E1727" s="1">
        <v>10938</v>
      </c>
      <c r="F1727" s="2">
        <v>54692</v>
      </c>
    </row>
    <row r="1728" spans="1:6" x14ac:dyDescent="0.25">
      <c r="A1728">
        <v>2017</v>
      </c>
      <c r="B1728" t="s">
        <v>57</v>
      </c>
      <c r="C1728" t="s">
        <v>1</v>
      </c>
      <c r="D1728" s="1">
        <v>21426</v>
      </c>
      <c r="E1728" s="1">
        <v>239356</v>
      </c>
      <c r="F1728" s="2">
        <v>53774</v>
      </c>
    </row>
    <row r="1729" spans="1:6" x14ac:dyDescent="0.25">
      <c r="A1729">
        <v>2017</v>
      </c>
      <c r="B1729" t="s">
        <v>57</v>
      </c>
      <c r="C1729" t="s">
        <v>2</v>
      </c>
      <c r="D1729" s="1">
        <v>31059</v>
      </c>
      <c r="E1729" s="1">
        <v>417456</v>
      </c>
      <c r="F1729" s="2">
        <v>55334</v>
      </c>
    </row>
    <row r="1730" spans="1:6" x14ac:dyDescent="0.25">
      <c r="A1730">
        <v>2017</v>
      </c>
      <c r="B1730" t="s">
        <v>57</v>
      </c>
      <c r="C1730" t="s">
        <v>3</v>
      </c>
      <c r="D1730" s="1">
        <v>13845</v>
      </c>
      <c r="E1730" s="1">
        <v>144215</v>
      </c>
      <c r="F1730" s="2">
        <v>59263</v>
      </c>
    </row>
    <row r="1731" spans="1:6" x14ac:dyDescent="0.25">
      <c r="A1731">
        <v>2017</v>
      </c>
      <c r="B1731" t="s">
        <v>57</v>
      </c>
      <c r="C1731" t="s">
        <v>4</v>
      </c>
      <c r="D1731" s="1">
        <v>188712</v>
      </c>
      <c r="E1731" s="1">
        <v>2551444</v>
      </c>
      <c r="F1731" s="2">
        <v>86955</v>
      </c>
    </row>
    <row r="1732" spans="1:6" x14ac:dyDescent="0.25">
      <c r="A1732">
        <v>2017</v>
      </c>
      <c r="B1732" t="s">
        <v>57</v>
      </c>
      <c r="C1732" t="s">
        <v>5</v>
      </c>
      <c r="D1732" s="1">
        <v>50576</v>
      </c>
      <c r="E1732" s="1">
        <v>412889</v>
      </c>
      <c r="F1732" s="2">
        <v>78698</v>
      </c>
    </row>
    <row r="1733" spans="1:6" x14ac:dyDescent="0.25">
      <c r="A1733">
        <v>2017</v>
      </c>
      <c r="B1733" t="s">
        <v>57</v>
      </c>
      <c r="C1733" t="s">
        <v>6</v>
      </c>
      <c r="D1733" s="1">
        <v>22807</v>
      </c>
      <c r="E1733" s="1">
        <v>218450</v>
      </c>
      <c r="F1733" s="2">
        <v>87307</v>
      </c>
    </row>
    <row r="1734" spans="1:6" x14ac:dyDescent="0.25">
      <c r="A1734">
        <v>2017</v>
      </c>
      <c r="B1734" t="s">
        <v>57</v>
      </c>
      <c r="C1734" t="s">
        <v>7</v>
      </c>
      <c r="D1734" s="1">
        <v>8644</v>
      </c>
      <c r="E1734" s="1">
        <v>61956</v>
      </c>
      <c r="F1734" s="2">
        <v>80600</v>
      </c>
    </row>
    <row r="1735" spans="1:6" x14ac:dyDescent="0.25">
      <c r="A1735">
        <v>2017</v>
      </c>
      <c r="B1735" t="s">
        <v>57</v>
      </c>
      <c r="C1735" t="s">
        <v>8</v>
      </c>
      <c r="D1735" s="1">
        <v>156978</v>
      </c>
      <c r="E1735" s="1">
        <v>1322562</v>
      </c>
      <c r="F1735" s="2">
        <v>58653</v>
      </c>
    </row>
    <row r="1736" spans="1:6" x14ac:dyDescent="0.25">
      <c r="A1736">
        <v>2017</v>
      </c>
      <c r="B1736" t="s">
        <v>57</v>
      </c>
      <c r="C1736" t="s">
        <v>9</v>
      </c>
      <c r="D1736" s="1">
        <v>54102</v>
      </c>
      <c r="E1736" s="1">
        <v>668820</v>
      </c>
      <c r="F1736" s="2">
        <v>64724</v>
      </c>
    </row>
    <row r="1737" spans="1:6" x14ac:dyDescent="0.25">
      <c r="A1737">
        <v>2017</v>
      </c>
      <c r="B1737" t="s">
        <v>57</v>
      </c>
      <c r="C1737" t="s">
        <v>10</v>
      </c>
      <c r="D1737" s="1">
        <v>11075</v>
      </c>
      <c r="E1737" s="1">
        <v>88110</v>
      </c>
      <c r="F1737" s="2">
        <v>48653</v>
      </c>
    </row>
    <row r="1738" spans="1:6" x14ac:dyDescent="0.25">
      <c r="A1738">
        <v>2017</v>
      </c>
      <c r="B1738" t="s">
        <v>57</v>
      </c>
      <c r="C1738" t="s">
        <v>11</v>
      </c>
      <c r="D1738" s="1">
        <v>73447</v>
      </c>
      <c r="E1738" s="1">
        <v>942202</v>
      </c>
      <c r="F1738" s="2">
        <v>73829</v>
      </c>
    </row>
    <row r="1739" spans="1:6" x14ac:dyDescent="0.25">
      <c r="A1739">
        <v>2017</v>
      </c>
      <c r="B1739" t="s">
        <v>57</v>
      </c>
      <c r="C1739" t="s">
        <v>12</v>
      </c>
      <c r="D1739" s="1">
        <v>29045</v>
      </c>
      <c r="E1739" s="1">
        <v>336985</v>
      </c>
      <c r="F1739" s="2">
        <v>50796</v>
      </c>
    </row>
    <row r="1740" spans="1:6" x14ac:dyDescent="0.25">
      <c r="A1740">
        <v>2017</v>
      </c>
      <c r="B1740" t="s">
        <v>57</v>
      </c>
      <c r="C1740" t="s">
        <v>13</v>
      </c>
      <c r="D1740" s="1">
        <v>15401</v>
      </c>
      <c r="E1740" s="1">
        <v>139096</v>
      </c>
      <c r="F1740" s="2">
        <v>52293</v>
      </c>
    </row>
    <row r="1741" spans="1:6" x14ac:dyDescent="0.25">
      <c r="A1741">
        <v>2017</v>
      </c>
      <c r="B1741" t="s">
        <v>57</v>
      </c>
      <c r="C1741" t="s">
        <v>14</v>
      </c>
      <c r="D1741" s="1">
        <v>16569</v>
      </c>
      <c r="E1741" s="1">
        <v>177353</v>
      </c>
      <c r="F1741" s="2">
        <v>59048</v>
      </c>
    </row>
    <row r="1742" spans="1:6" x14ac:dyDescent="0.25">
      <c r="A1742">
        <v>2017</v>
      </c>
      <c r="B1742" t="s">
        <v>57</v>
      </c>
      <c r="C1742" t="s">
        <v>15</v>
      </c>
      <c r="D1742" s="1">
        <v>20206</v>
      </c>
      <c r="E1742" s="1">
        <v>214141</v>
      </c>
      <c r="F1742" s="2">
        <v>48829</v>
      </c>
    </row>
    <row r="1743" spans="1:6" x14ac:dyDescent="0.25">
      <c r="A1743">
        <v>2017</v>
      </c>
      <c r="B1743" t="s">
        <v>57</v>
      </c>
      <c r="C1743" t="s">
        <v>16</v>
      </c>
      <c r="D1743" s="1">
        <v>24001</v>
      </c>
      <c r="E1743" s="1">
        <v>209874</v>
      </c>
      <c r="F1743" s="2">
        <v>55218</v>
      </c>
    </row>
    <row r="1744" spans="1:6" x14ac:dyDescent="0.25">
      <c r="A1744">
        <v>2017</v>
      </c>
      <c r="B1744" t="s">
        <v>57</v>
      </c>
      <c r="C1744" t="s">
        <v>17</v>
      </c>
      <c r="D1744" s="1">
        <v>9912</v>
      </c>
      <c r="E1744" s="1">
        <v>66736</v>
      </c>
      <c r="F1744" s="2">
        <v>55405</v>
      </c>
    </row>
    <row r="1745" spans="1:6" x14ac:dyDescent="0.25">
      <c r="A1745">
        <v>2017</v>
      </c>
      <c r="B1745" t="s">
        <v>57</v>
      </c>
      <c r="C1745" t="s">
        <v>18</v>
      </c>
      <c r="D1745" s="1">
        <v>42175</v>
      </c>
      <c r="E1745" s="1">
        <v>443764</v>
      </c>
      <c r="F1745" s="2">
        <v>77259</v>
      </c>
    </row>
    <row r="1746" spans="1:6" x14ac:dyDescent="0.25">
      <c r="A1746">
        <v>2017</v>
      </c>
      <c r="B1746" t="s">
        <v>57</v>
      </c>
      <c r="C1746" t="s">
        <v>19</v>
      </c>
      <c r="D1746" s="1">
        <v>47186</v>
      </c>
      <c r="E1746" s="1">
        <v>566190</v>
      </c>
      <c r="F1746" s="2">
        <v>102580</v>
      </c>
    </row>
    <row r="1747" spans="1:6" x14ac:dyDescent="0.25">
      <c r="A1747">
        <v>2017</v>
      </c>
      <c r="B1747" t="s">
        <v>57</v>
      </c>
      <c r="C1747" t="s">
        <v>20</v>
      </c>
      <c r="D1747" s="1">
        <v>42271</v>
      </c>
      <c r="E1747" s="1">
        <v>645279</v>
      </c>
      <c r="F1747" s="2">
        <v>68677</v>
      </c>
    </row>
    <row r="1748" spans="1:6" x14ac:dyDescent="0.25">
      <c r="A1748">
        <v>2017</v>
      </c>
      <c r="B1748" t="s">
        <v>57</v>
      </c>
      <c r="C1748" t="s">
        <v>21</v>
      </c>
      <c r="D1748" s="1">
        <v>29916</v>
      </c>
      <c r="E1748" s="1">
        <v>373603</v>
      </c>
      <c r="F1748" s="2">
        <v>80794</v>
      </c>
    </row>
    <row r="1749" spans="1:6" x14ac:dyDescent="0.25">
      <c r="A1749">
        <v>2017</v>
      </c>
      <c r="B1749" t="s">
        <v>57</v>
      </c>
      <c r="C1749" t="s">
        <v>22</v>
      </c>
      <c r="D1749" s="1">
        <v>11953</v>
      </c>
      <c r="E1749" s="1">
        <v>107737</v>
      </c>
      <c r="F1749" s="2">
        <v>41461</v>
      </c>
    </row>
    <row r="1750" spans="1:6" x14ac:dyDescent="0.25">
      <c r="A1750">
        <v>2017</v>
      </c>
      <c r="B1750" t="s">
        <v>57</v>
      </c>
      <c r="C1750" t="s">
        <v>23</v>
      </c>
      <c r="D1750" s="1">
        <v>33699</v>
      </c>
      <c r="E1750" s="1">
        <v>381525</v>
      </c>
      <c r="F1750" s="2">
        <v>63932</v>
      </c>
    </row>
    <row r="1751" spans="1:6" x14ac:dyDescent="0.25">
      <c r="A1751">
        <v>2017</v>
      </c>
      <c r="B1751" t="s">
        <v>57</v>
      </c>
      <c r="C1751" t="s">
        <v>24</v>
      </c>
      <c r="D1751" s="1">
        <v>8994</v>
      </c>
      <c r="E1751" s="1">
        <v>41010</v>
      </c>
      <c r="F1751" s="2">
        <v>50921</v>
      </c>
    </row>
    <row r="1752" spans="1:6" x14ac:dyDescent="0.25">
      <c r="A1752">
        <v>2017</v>
      </c>
      <c r="B1752" t="s">
        <v>57</v>
      </c>
      <c r="C1752" t="s">
        <v>25</v>
      </c>
      <c r="D1752" s="1">
        <v>11395</v>
      </c>
      <c r="E1752" s="1">
        <v>117542</v>
      </c>
      <c r="F1752" s="2">
        <v>59204</v>
      </c>
    </row>
    <row r="1753" spans="1:6" x14ac:dyDescent="0.25">
      <c r="A1753">
        <v>2017</v>
      </c>
      <c r="B1753" t="s">
        <v>57</v>
      </c>
      <c r="C1753" t="s">
        <v>26</v>
      </c>
      <c r="D1753" s="1">
        <v>19521</v>
      </c>
      <c r="E1753" s="1">
        <v>181485</v>
      </c>
      <c r="F1753" s="2">
        <v>58283</v>
      </c>
    </row>
    <row r="1754" spans="1:6" x14ac:dyDescent="0.25">
      <c r="A1754">
        <v>2017</v>
      </c>
      <c r="B1754" t="s">
        <v>57</v>
      </c>
      <c r="C1754" t="s">
        <v>27</v>
      </c>
      <c r="D1754" s="1">
        <v>11938</v>
      </c>
      <c r="E1754" s="1">
        <v>81761</v>
      </c>
      <c r="F1754" s="2">
        <v>75584</v>
      </c>
    </row>
    <row r="1755" spans="1:6" x14ac:dyDescent="0.25">
      <c r="A1755">
        <v>2017</v>
      </c>
      <c r="B1755" t="s">
        <v>57</v>
      </c>
      <c r="C1755" t="s">
        <v>28</v>
      </c>
      <c r="D1755" s="1">
        <v>50907</v>
      </c>
      <c r="E1755" s="1">
        <v>663584</v>
      </c>
      <c r="F1755" s="2">
        <v>88404</v>
      </c>
    </row>
    <row r="1756" spans="1:6" x14ac:dyDescent="0.25">
      <c r="A1756">
        <v>2017</v>
      </c>
      <c r="B1756" t="s">
        <v>57</v>
      </c>
      <c r="C1756" t="s">
        <v>29</v>
      </c>
      <c r="D1756" s="1">
        <v>10062</v>
      </c>
      <c r="E1756" s="1">
        <v>104434</v>
      </c>
      <c r="F1756" s="2">
        <v>60086</v>
      </c>
    </row>
    <row r="1757" spans="1:6" x14ac:dyDescent="0.25">
      <c r="A1757">
        <v>2017</v>
      </c>
      <c r="B1757" t="s">
        <v>57</v>
      </c>
      <c r="C1757" t="s">
        <v>30</v>
      </c>
      <c r="D1757" s="1">
        <v>111646</v>
      </c>
      <c r="E1757" s="1">
        <v>1314408</v>
      </c>
      <c r="F1757" s="2">
        <v>92549</v>
      </c>
    </row>
    <row r="1758" spans="1:6" x14ac:dyDescent="0.25">
      <c r="A1758">
        <v>2017</v>
      </c>
      <c r="B1758" t="s">
        <v>57</v>
      </c>
      <c r="C1758" t="s">
        <v>31</v>
      </c>
      <c r="D1758" s="1">
        <v>57179</v>
      </c>
      <c r="E1758" s="1">
        <v>616193</v>
      </c>
      <c r="F1758" s="2">
        <v>62617</v>
      </c>
    </row>
    <row r="1759" spans="1:6" x14ac:dyDescent="0.25">
      <c r="A1759">
        <v>2017</v>
      </c>
      <c r="B1759" t="s">
        <v>57</v>
      </c>
      <c r="C1759" t="s">
        <v>32</v>
      </c>
      <c r="D1759" s="1">
        <v>4917</v>
      </c>
      <c r="E1759" s="1">
        <v>34300</v>
      </c>
      <c r="F1759" s="2">
        <v>59438</v>
      </c>
    </row>
    <row r="1760" spans="1:6" x14ac:dyDescent="0.25">
      <c r="A1760">
        <v>2017</v>
      </c>
      <c r="B1760" t="s">
        <v>57</v>
      </c>
      <c r="C1760" t="s">
        <v>33</v>
      </c>
      <c r="D1760" s="1">
        <v>52650</v>
      </c>
      <c r="E1760" s="1">
        <v>724748</v>
      </c>
      <c r="F1760" s="2">
        <v>62445</v>
      </c>
    </row>
    <row r="1761" spans="1:6" x14ac:dyDescent="0.25">
      <c r="A1761">
        <v>2017</v>
      </c>
      <c r="B1761" t="s">
        <v>57</v>
      </c>
      <c r="C1761" t="s">
        <v>34</v>
      </c>
      <c r="D1761" s="1">
        <v>20434</v>
      </c>
      <c r="E1761" s="1">
        <v>185534</v>
      </c>
      <c r="F1761" s="2">
        <v>50640</v>
      </c>
    </row>
    <row r="1762" spans="1:6" x14ac:dyDescent="0.25">
      <c r="A1762">
        <v>2017</v>
      </c>
      <c r="B1762" t="s">
        <v>57</v>
      </c>
      <c r="C1762" t="s">
        <v>35</v>
      </c>
      <c r="D1762" s="1">
        <v>24942</v>
      </c>
      <c r="E1762" s="1">
        <v>242708</v>
      </c>
      <c r="F1762" s="2">
        <v>67873</v>
      </c>
    </row>
    <row r="1763" spans="1:6" x14ac:dyDescent="0.25">
      <c r="A1763">
        <v>2017</v>
      </c>
      <c r="B1763" t="s">
        <v>57</v>
      </c>
      <c r="C1763" t="s">
        <v>36</v>
      </c>
      <c r="D1763" s="1">
        <v>61779</v>
      </c>
      <c r="E1763" s="1">
        <v>799939</v>
      </c>
      <c r="F1763" s="2">
        <v>76029</v>
      </c>
    </row>
    <row r="1764" spans="1:6" x14ac:dyDescent="0.25">
      <c r="A1764">
        <v>2017</v>
      </c>
      <c r="B1764" t="s">
        <v>57</v>
      </c>
      <c r="C1764" t="s">
        <v>37</v>
      </c>
      <c r="D1764" s="1">
        <v>8350</v>
      </c>
      <c r="E1764" s="1">
        <v>67366</v>
      </c>
      <c r="F1764" s="2">
        <v>67763</v>
      </c>
    </row>
    <row r="1765" spans="1:6" x14ac:dyDescent="0.25">
      <c r="A1765">
        <v>2017</v>
      </c>
      <c r="B1765" t="s">
        <v>57</v>
      </c>
      <c r="C1765" t="s">
        <v>38</v>
      </c>
      <c r="D1765" s="1">
        <v>25902</v>
      </c>
      <c r="E1765" s="1">
        <v>280711</v>
      </c>
      <c r="F1765" s="2">
        <v>49505</v>
      </c>
    </row>
    <row r="1766" spans="1:6" x14ac:dyDescent="0.25">
      <c r="A1766">
        <v>2017</v>
      </c>
      <c r="B1766" t="s">
        <v>57</v>
      </c>
      <c r="C1766" t="s">
        <v>39</v>
      </c>
      <c r="D1766" s="1">
        <v>5030</v>
      </c>
      <c r="E1766" s="1">
        <v>31264</v>
      </c>
      <c r="F1766" s="2">
        <v>55293</v>
      </c>
    </row>
    <row r="1767" spans="1:6" x14ac:dyDescent="0.25">
      <c r="A1767">
        <v>2017</v>
      </c>
      <c r="B1767" t="s">
        <v>57</v>
      </c>
      <c r="C1767" t="s">
        <v>40</v>
      </c>
      <c r="D1767" s="1">
        <v>28315</v>
      </c>
      <c r="E1767" s="1">
        <v>407133</v>
      </c>
      <c r="F1767" s="2">
        <v>56172</v>
      </c>
    </row>
    <row r="1768" spans="1:6" x14ac:dyDescent="0.25">
      <c r="A1768">
        <v>2017</v>
      </c>
      <c r="B1768" t="s">
        <v>57</v>
      </c>
      <c r="C1768" t="s">
        <v>41</v>
      </c>
      <c r="D1768" s="1">
        <v>129242</v>
      </c>
      <c r="E1768" s="1">
        <v>1666865</v>
      </c>
      <c r="F1768" s="2">
        <v>71507</v>
      </c>
    </row>
    <row r="1769" spans="1:6" x14ac:dyDescent="0.25">
      <c r="A1769">
        <v>2017</v>
      </c>
      <c r="B1769" t="s">
        <v>57</v>
      </c>
      <c r="C1769" t="s">
        <v>42</v>
      </c>
      <c r="D1769" s="1">
        <v>21911</v>
      </c>
      <c r="E1769" s="1">
        <v>205052</v>
      </c>
      <c r="F1769" s="2">
        <v>56815</v>
      </c>
    </row>
    <row r="1770" spans="1:6" x14ac:dyDescent="0.25">
      <c r="A1770">
        <v>2017</v>
      </c>
      <c r="B1770" t="s">
        <v>57</v>
      </c>
      <c r="C1770" t="s">
        <v>43</v>
      </c>
      <c r="D1770" s="1">
        <v>5488</v>
      </c>
      <c r="E1770" s="1">
        <v>28484</v>
      </c>
      <c r="F1770" s="2">
        <v>63457</v>
      </c>
    </row>
    <row r="1771" spans="1:6" x14ac:dyDescent="0.25">
      <c r="A1771">
        <v>2017</v>
      </c>
      <c r="B1771" t="s">
        <v>57</v>
      </c>
      <c r="C1771" t="s">
        <v>44</v>
      </c>
      <c r="D1771" s="1">
        <v>57146</v>
      </c>
      <c r="E1771" s="1">
        <v>725936</v>
      </c>
      <c r="F1771" s="2">
        <v>84971</v>
      </c>
    </row>
    <row r="1772" spans="1:6" x14ac:dyDescent="0.25">
      <c r="A1772">
        <v>2017</v>
      </c>
      <c r="B1772" t="s">
        <v>57</v>
      </c>
      <c r="C1772" t="s">
        <v>45</v>
      </c>
      <c r="D1772" s="1">
        <v>39177</v>
      </c>
      <c r="E1772" s="1">
        <v>404782</v>
      </c>
      <c r="F1772" s="2">
        <v>76348</v>
      </c>
    </row>
    <row r="1773" spans="1:6" x14ac:dyDescent="0.25">
      <c r="A1773">
        <v>2017</v>
      </c>
      <c r="B1773" t="s">
        <v>57</v>
      </c>
      <c r="C1773" t="s">
        <v>46</v>
      </c>
      <c r="D1773" s="1">
        <v>8077</v>
      </c>
      <c r="E1773" s="1">
        <v>66420</v>
      </c>
      <c r="F1773" s="2">
        <v>48213</v>
      </c>
    </row>
    <row r="1774" spans="1:6" x14ac:dyDescent="0.25">
      <c r="A1774">
        <v>2017</v>
      </c>
      <c r="B1774" t="s">
        <v>57</v>
      </c>
      <c r="C1774" t="s">
        <v>47</v>
      </c>
      <c r="D1774" s="1">
        <v>23769</v>
      </c>
      <c r="E1774" s="1">
        <v>324012</v>
      </c>
      <c r="F1774" s="2">
        <v>57868</v>
      </c>
    </row>
    <row r="1775" spans="1:6" x14ac:dyDescent="0.25">
      <c r="A1775">
        <v>2017</v>
      </c>
      <c r="B1775" t="s">
        <v>57</v>
      </c>
      <c r="C1775" t="s">
        <v>48</v>
      </c>
      <c r="D1775" s="1">
        <v>4417</v>
      </c>
      <c r="E1775" s="1">
        <v>18050</v>
      </c>
      <c r="F1775" s="2">
        <v>50226</v>
      </c>
    </row>
    <row r="1776" spans="1:6" x14ac:dyDescent="0.25">
      <c r="A1776">
        <v>2017</v>
      </c>
      <c r="B1776" t="s">
        <v>58</v>
      </c>
      <c r="C1776" t="s">
        <v>1</v>
      </c>
      <c r="D1776" s="1">
        <v>12429</v>
      </c>
      <c r="E1776" s="1">
        <v>229821</v>
      </c>
      <c r="F1776" s="2">
        <v>45641</v>
      </c>
    </row>
    <row r="1777" spans="1:6" x14ac:dyDescent="0.25">
      <c r="A1777">
        <v>2017</v>
      </c>
      <c r="B1777" t="s">
        <v>58</v>
      </c>
      <c r="C1777" t="s">
        <v>2</v>
      </c>
      <c r="D1777" s="1">
        <v>16509</v>
      </c>
      <c r="E1777" s="1">
        <v>420129</v>
      </c>
      <c r="F1777" s="2">
        <v>50240</v>
      </c>
    </row>
    <row r="1778" spans="1:6" x14ac:dyDescent="0.25">
      <c r="A1778">
        <v>2017</v>
      </c>
      <c r="B1778" t="s">
        <v>58</v>
      </c>
      <c r="C1778" t="s">
        <v>3</v>
      </c>
      <c r="D1778" s="1">
        <v>15762</v>
      </c>
      <c r="E1778" s="1">
        <v>183433</v>
      </c>
      <c r="F1778" s="2">
        <v>41521</v>
      </c>
    </row>
    <row r="1779" spans="1:6" x14ac:dyDescent="0.25">
      <c r="A1779">
        <v>2017</v>
      </c>
      <c r="B1779" t="s">
        <v>58</v>
      </c>
      <c r="C1779" t="s">
        <v>4</v>
      </c>
      <c r="D1779" s="1">
        <v>593987</v>
      </c>
      <c r="E1779" s="1">
        <v>2560907</v>
      </c>
      <c r="F1779" s="2">
        <v>50766</v>
      </c>
    </row>
    <row r="1780" spans="1:6" x14ac:dyDescent="0.25">
      <c r="A1780">
        <v>2017</v>
      </c>
      <c r="B1780" t="s">
        <v>58</v>
      </c>
      <c r="C1780" t="s">
        <v>5</v>
      </c>
      <c r="D1780" s="1">
        <v>21356</v>
      </c>
      <c r="E1780" s="1">
        <v>328843</v>
      </c>
      <c r="F1780" s="2">
        <v>48754</v>
      </c>
    </row>
    <row r="1781" spans="1:6" x14ac:dyDescent="0.25">
      <c r="A1781">
        <v>2017</v>
      </c>
      <c r="B1781" t="s">
        <v>58</v>
      </c>
      <c r="C1781" t="s">
        <v>6</v>
      </c>
      <c r="D1781" s="1">
        <v>12701</v>
      </c>
      <c r="E1781" s="1">
        <v>325348</v>
      </c>
      <c r="F1781" s="2">
        <v>53993</v>
      </c>
    </row>
    <row r="1782" spans="1:6" x14ac:dyDescent="0.25">
      <c r="A1782">
        <v>2017</v>
      </c>
      <c r="B1782" t="s">
        <v>58</v>
      </c>
      <c r="C1782" t="s">
        <v>7</v>
      </c>
      <c r="D1782" s="1">
        <v>4626</v>
      </c>
      <c r="E1782" s="1">
        <v>73879</v>
      </c>
      <c r="F1782" s="2">
        <v>53083</v>
      </c>
    </row>
    <row r="1783" spans="1:6" x14ac:dyDescent="0.25">
      <c r="A1783">
        <v>2017</v>
      </c>
      <c r="B1783" t="s">
        <v>58</v>
      </c>
      <c r="C1783" t="s">
        <v>8</v>
      </c>
      <c r="D1783" s="1">
        <v>71929</v>
      </c>
      <c r="E1783" s="1">
        <v>1258710</v>
      </c>
      <c r="F1783" s="2">
        <v>49450</v>
      </c>
    </row>
    <row r="1784" spans="1:6" x14ac:dyDescent="0.25">
      <c r="A1784">
        <v>2017</v>
      </c>
      <c r="B1784" t="s">
        <v>58</v>
      </c>
      <c r="C1784" t="s">
        <v>9</v>
      </c>
      <c r="D1784" s="1">
        <v>28426</v>
      </c>
      <c r="E1784" s="1">
        <v>546707</v>
      </c>
      <c r="F1784" s="2">
        <v>50819</v>
      </c>
    </row>
    <row r="1785" spans="1:6" x14ac:dyDescent="0.25">
      <c r="A1785">
        <v>2017</v>
      </c>
      <c r="B1785" t="s">
        <v>58</v>
      </c>
      <c r="C1785" t="s">
        <v>10</v>
      </c>
      <c r="D1785" s="1">
        <v>7292</v>
      </c>
      <c r="E1785" s="1">
        <v>96246</v>
      </c>
      <c r="F1785" s="2">
        <v>40927</v>
      </c>
    </row>
    <row r="1786" spans="1:6" x14ac:dyDescent="0.25">
      <c r="A1786">
        <v>2017</v>
      </c>
      <c r="B1786" t="s">
        <v>58</v>
      </c>
      <c r="C1786" t="s">
        <v>11</v>
      </c>
      <c r="D1786" s="1">
        <v>34414</v>
      </c>
      <c r="E1786" s="1">
        <v>910288</v>
      </c>
      <c r="F1786" s="2">
        <v>49347</v>
      </c>
    </row>
    <row r="1787" spans="1:6" x14ac:dyDescent="0.25">
      <c r="A1787">
        <v>2017</v>
      </c>
      <c r="B1787" t="s">
        <v>58</v>
      </c>
      <c r="C1787" t="s">
        <v>12</v>
      </c>
      <c r="D1787" s="1">
        <v>15254</v>
      </c>
      <c r="E1787" s="1">
        <v>452646</v>
      </c>
      <c r="F1787" s="2">
        <v>46791</v>
      </c>
    </row>
    <row r="1788" spans="1:6" x14ac:dyDescent="0.25">
      <c r="A1788">
        <v>2017</v>
      </c>
      <c r="B1788" t="s">
        <v>58</v>
      </c>
      <c r="C1788" t="s">
        <v>13</v>
      </c>
      <c r="D1788" s="1">
        <v>11324</v>
      </c>
      <c r="E1788" s="1">
        <v>219362</v>
      </c>
      <c r="F1788" s="2">
        <v>42092</v>
      </c>
    </row>
    <row r="1789" spans="1:6" x14ac:dyDescent="0.25">
      <c r="A1789">
        <v>2017</v>
      </c>
      <c r="B1789" t="s">
        <v>58</v>
      </c>
      <c r="C1789" t="s">
        <v>14</v>
      </c>
      <c r="D1789" s="1">
        <v>10129</v>
      </c>
      <c r="E1789" s="1">
        <v>192638</v>
      </c>
      <c r="F1789" s="2">
        <v>41465</v>
      </c>
    </row>
    <row r="1790" spans="1:6" x14ac:dyDescent="0.25">
      <c r="A1790">
        <v>2017</v>
      </c>
      <c r="B1790" t="s">
        <v>58</v>
      </c>
      <c r="C1790" t="s">
        <v>15</v>
      </c>
      <c r="D1790" s="1">
        <v>17849</v>
      </c>
      <c r="E1790" s="1">
        <v>262151</v>
      </c>
      <c r="F1790" s="2">
        <v>47340</v>
      </c>
    </row>
    <row r="1791" spans="1:6" x14ac:dyDescent="0.25">
      <c r="A1791">
        <v>2017</v>
      </c>
      <c r="B1791" t="s">
        <v>58</v>
      </c>
      <c r="C1791" t="s">
        <v>16</v>
      </c>
      <c r="D1791" s="1">
        <v>15003</v>
      </c>
      <c r="E1791" s="1">
        <v>297694</v>
      </c>
      <c r="F1791" s="2">
        <v>42305</v>
      </c>
    </row>
    <row r="1792" spans="1:6" x14ac:dyDescent="0.25">
      <c r="A1792">
        <v>2017</v>
      </c>
      <c r="B1792" t="s">
        <v>58</v>
      </c>
      <c r="C1792" t="s">
        <v>17</v>
      </c>
      <c r="D1792" s="1">
        <v>6292</v>
      </c>
      <c r="E1792" s="1">
        <v>118412</v>
      </c>
      <c r="F1792" s="2">
        <v>45937</v>
      </c>
    </row>
    <row r="1793" spans="1:6" x14ac:dyDescent="0.25">
      <c r="A1793">
        <v>2017</v>
      </c>
      <c r="B1793" t="s">
        <v>58</v>
      </c>
      <c r="C1793" t="s">
        <v>18</v>
      </c>
      <c r="D1793" s="1">
        <v>20270</v>
      </c>
      <c r="E1793" s="1">
        <v>436185</v>
      </c>
      <c r="F1793" s="2">
        <v>53201</v>
      </c>
    </row>
    <row r="1794" spans="1:6" x14ac:dyDescent="0.25">
      <c r="A1794">
        <v>2017</v>
      </c>
      <c r="B1794" t="s">
        <v>58</v>
      </c>
      <c r="C1794" t="s">
        <v>19</v>
      </c>
      <c r="D1794" s="1">
        <v>61589</v>
      </c>
      <c r="E1794" s="1">
        <v>769824</v>
      </c>
      <c r="F1794" s="2">
        <v>57794</v>
      </c>
    </row>
    <row r="1795" spans="1:6" x14ac:dyDescent="0.25">
      <c r="A1795">
        <v>2017</v>
      </c>
      <c r="B1795" t="s">
        <v>58</v>
      </c>
      <c r="C1795" t="s">
        <v>20</v>
      </c>
      <c r="D1795" s="1">
        <v>24957</v>
      </c>
      <c r="E1795" s="1">
        <v>656020</v>
      </c>
      <c r="F1795" s="2">
        <v>48406</v>
      </c>
    </row>
    <row r="1796" spans="1:6" x14ac:dyDescent="0.25">
      <c r="A1796">
        <v>2017</v>
      </c>
      <c r="B1796" t="s">
        <v>58</v>
      </c>
      <c r="C1796" t="s">
        <v>21</v>
      </c>
      <c r="D1796" s="1">
        <v>17543</v>
      </c>
      <c r="E1796" s="1">
        <v>514711</v>
      </c>
      <c r="F1796" s="2">
        <v>49720</v>
      </c>
    </row>
    <row r="1797" spans="1:6" x14ac:dyDescent="0.25">
      <c r="A1797">
        <v>2017</v>
      </c>
      <c r="B1797" t="s">
        <v>58</v>
      </c>
      <c r="C1797" t="s">
        <v>22</v>
      </c>
      <c r="D1797" s="1">
        <v>7420</v>
      </c>
      <c r="E1797" s="1">
        <v>142412</v>
      </c>
      <c r="F1797" s="2">
        <v>40426</v>
      </c>
    </row>
    <row r="1798" spans="1:6" x14ac:dyDescent="0.25">
      <c r="A1798">
        <v>2017</v>
      </c>
      <c r="B1798" t="s">
        <v>58</v>
      </c>
      <c r="C1798" t="s">
        <v>23</v>
      </c>
      <c r="D1798" s="1">
        <v>48626</v>
      </c>
      <c r="E1798" s="1">
        <v>450671</v>
      </c>
      <c r="F1798" s="2">
        <v>44800</v>
      </c>
    </row>
    <row r="1799" spans="1:6" x14ac:dyDescent="0.25">
      <c r="A1799">
        <v>2017</v>
      </c>
      <c r="B1799" t="s">
        <v>58</v>
      </c>
      <c r="C1799" t="s">
        <v>24</v>
      </c>
      <c r="D1799" s="1">
        <v>4448</v>
      </c>
      <c r="E1799" s="1">
        <v>73262</v>
      </c>
      <c r="F1799" s="2">
        <v>46171</v>
      </c>
    </row>
    <row r="1800" spans="1:6" x14ac:dyDescent="0.25">
      <c r="A1800">
        <v>2017</v>
      </c>
      <c r="B1800" t="s">
        <v>58</v>
      </c>
      <c r="C1800" t="s">
        <v>25</v>
      </c>
      <c r="D1800" s="1">
        <v>13241</v>
      </c>
      <c r="E1800" s="1">
        <v>136970</v>
      </c>
      <c r="F1800" s="2">
        <v>44565</v>
      </c>
    </row>
    <row r="1801" spans="1:6" x14ac:dyDescent="0.25">
      <c r="A1801">
        <v>2017</v>
      </c>
      <c r="B1801" t="s">
        <v>58</v>
      </c>
      <c r="C1801" t="s">
        <v>26</v>
      </c>
      <c r="D1801" s="1">
        <v>8681</v>
      </c>
      <c r="E1801" s="1">
        <v>131756</v>
      </c>
      <c r="F1801" s="2">
        <v>53119</v>
      </c>
    </row>
    <row r="1802" spans="1:6" x14ac:dyDescent="0.25">
      <c r="A1802">
        <v>2017</v>
      </c>
      <c r="B1802" t="s">
        <v>58</v>
      </c>
      <c r="C1802" t="s">
        <v>27</v>
      </c>
      <c r="D1802" s="1">
        <v>4635</v>
      </c>
      <c r="E1802" s="1">
        <v>111212</v>
      </c>
      <c r="F1802" s="2">
        <v>54599</v>
      </c>
    </row>
    <row r="1803" spans="1:6" x14ac:dyDescent="0.25">
      <c r="A1803">
        <v>2017</v>
      </c>
      <c r="B1803" t="s">
        <v>58</v>
      </c>
      <c r="C1803" t="s">
        <v>28</v>
      </c>
      <c r="D1803" s="1">
        <v>33411</v>
      </c>
      <c r="E1803" s="1">
        <v>644049</v>
      </c>
      <c r="F1803" s="2">
        <v>52138</v>
      </c>
    </row>
    <row r="1804" spans="1:6" x14ac:dyDescent="0.25">
      <c r="A1804">
        <v>2017</v>
      </c>
      <c r="B1804" t="s">
        <v>58</v>
      </c>
      <c r="C1804" t="s">
        <v>29</v>
      </c>
      <c r="D1804" s="1">
        <v>9629</v>
      </c>
      <c r="E1804" s="1">
        <v>127804</v>
      </c>
      <c r="F1804" s="2">
        <v>40621</v>
      </c>
    </row>
    <row r="1805" spans="1:6" x14ac:dyDescent="0.25">
      <c r="A1805">
        <v>2017</v>
      </c>
      <c r="B1805" t="s">
        <v>58</v>
      </c>
      <c r="C1805" t="s">
        <v>30</v>
      </c>
      <c r="D1805" s="1">
        <v>67533</v>
      </c>
      <c r="E1805" s="1">
        <v>1847585</v>
      </c>
      <c r="F1805" s="2">
        <v>51932</v>
      </c>
    </row>
    <row r="1806" spans="1:6" x14ac:dyDescent="0.25">
      <c r="A1806">
        <v>2017</v>
      </c>
      <c r="B1806" t="s">
        <v>58</v>
      </c>
      <c r="C1806" t="s">
        <v>31</v>
      </c>
      <c r="D1806" s="1">
        <v>26885</v>
      </c>
      <c r="E1806" s="1">
        <v>578637</v>
      </c>
      <c r="F1806" s="2">
        <v>47135</v>
      </c>
    </row>
    <row r="1807" spans="1:6" x14ac:dyDescent="0.25">
      <c r="A1807">
        <v>2017</v>
      </c>
      <c r="B1807" t="s">
        <v>58</v>
      </c>
      <c r="C1807" t="s">
        <v>32</v>
      </c>
      <c r="D1807" s="1">
        <v>2484</v>
      </c>
      <c r="E1807" s="1">
        <v>61847</v>
      </c>
      <c r="F1807" s="2">
        <v>49915</v>
      </c>
    </row>
    <row r="1808" spans="1:6" x14ac:dyDescent="0.25">
      <c r="A1808">
        <v>2017</v>
      </c>
      <c r="B1808" t="s">
        <v>58</v>
      </c>
      <c r="C1808" t="s">
        <v>33</v>
      </c>
      <c r="D1808" s="1">
        <v>34090</v>
      </c>
      <c r="E1808" s="1">
        <v>897244</v>
      </c>
      <c r="F1808" s="2">
        <v>45314</v>
      </c>
    </row>
    <row r="1809" spans="1:6" x14ac:dyDescent="0.25">
      <c r="A1809">
        <v>2017</v>
      </c>
      <c r="B1809" t="s">
        <v>58</v>
      </c>
      <c r="C1809" t="s">
        <v>34</v>
      </c>
      <c r="D1809" s="1">
        <v>13367</v>
      </c>
      <c r="E1809" s="1">
        <v>208934</v>
      </c>
      <c r="F1809" s="2">
        <v>44167</v>
      </c>
    </row>
    <row r="1810" spans="1:6" x14ac:dyDescent="0.25">
      <c r="A1810">
        <v>2017</v>
      </c>
      <c r="B1810" t="s">
        <v>58</v>
      </c>
      <c r="C1810" t="s">
        <v>35</v>
      </c>
      <c r="D1810" s="1">
        <v>15363</v>
      </c>
      <c r="E1810" s="1">
        <v>266489</v>
      </c>
      <c r="F1810" s="2">
        <v>50908</v>
      </c>
    </row>
    <row r="1811" spans="1:6" x14ac:dyDescent="0.25">
      <c r="A1811">
        <v>2017</v>
      </c>
      <c r="B1811" t="s">
        <v>58</v>
      </c>
      <c r="C1811" t="s">
        <v>36</v>
      </c>
      <c r="D1811" s="1">
        <v>58709</v>
      </c>
      <c r="E1811" s="1">
        <v>1179271</v>
      </c>
      <c r="F1811" s="2">
        <v>50500</v>
      </c>
    </row>
    <row r="1812" spans="1:6" x14ac:dyDescent="0.25">
      <c r="A1812">
        <v>2017</v>
      </c>
      <c r="B1812" t="s">
        <v>58</v>
      </c>
      <c r="C1812" t="s">
        <v>37</v>
      </c>
      <c r="D1812" s="1">
        <v>4485</v>
      </c>
      <c r="E1812" s="1">
        <v>99581</v>
      </c>
      <c r="F1812" s="2">
        <v>47941</v>
      </c>
    </row>
    <row r="1813" spans="1:6" x14ac:dyDescent="0.25">
      <c r="A1813">
        <v>2017</v>
      </c>
      <c r="B1813" t="s">
        <v>58</v>
      </c>
      <c r="C1813" t="s">
        <v>38</v>
      </c>
      <c r="D1813" s="1">
        <v>11574</v>
      </c>
      <c r="E1813" s="1">
        <v>226255</v>
      </c>
      <c r="F1813" s="2">
        <v>45624</v>
      </c>
    </row>
    <row r="1814" spans="1:6" x14ac:dyDescent="0.25">
      <c r="A1814">
        <v>2017</v>
      </c>
      <c r="B1814" t="s">
        <v>58</v>
      </c>
      <c r="C1814" t="s">
        <v>39</v>
      </c>
      <c r="D1814" s="1">
        <v>2732</v>
      </c>
      <c r="E1814" s="1">
        <v>66629</v>
      </c>
      <c r="F1814" s="2">
        <v>49512</v>
      </c>
    </row>
    <row r="1815" spans="1:6" x14ac:dyDescent="0.25">
      <c r="A1815">
        <v>2017</v>
      </c>
      <c r="B1815" t="s">
        <v>58</v>
      </c>
      <c r="C1815" t="s">
        <v>40</v>
      </c>
      <c r="D1815" s="1">
        <v>15761</v>
      </c>
      <c r="E1815" s="1">
        <v>416511</v>
      </c>
      <c r="F1815" s="2">
        <v>50938</v>
      </c>
    </row>
    <row r="1816" spans="1:6" x14ac:dyDescent="0.25">
      <c r="A1816">
        <v>2017</v>
      </c>
      <c r="B1816" t="s">
        <v>58</v>
      </c>
      <c r="C1816" t="s">
        <v>41</v>
      </c>
      <c r="D1816" s="1">
        <v>87635</v>
      </c>
      <c r="E1816" s="1">
        <v>1607487</v>
      </c>
      <c r="F1816" s="2">
        <v>47096</v>
      </c>
    </row>
    <row r="1817" spans="1:6" x14ac:dyDescent="0.25">
      <c r="A1817">
        <v>2017</v>
      </c>
      <c r="B1817" t="s">
        <v>58</v>
      </c>
      <c r="C1817" t="s">
        <v>42</v>
      </c>
      <c r="D1817" s="1">
        <v>11679</v>
      </c>
      <c r="E1817" s="1">
        <v>181402</v>
      </c>
      <c r="F1817" s="2">
        <v>42492</v>
      </c>
    </row>
    <row r="1818" spans="1:6" x14ac:dyDescent="0.25">
      <c r="A1818">
        <v>2017</v>
      </c>
      <c r="B1818" t="s">
        <v>58</v>
      </c>
      <c r="C1818" t="s">
        <v>43</v>
      </c>
      <c r="D1818" s="1">
        <v>2460</v>
      </c>
      <c r="E1818" s="1">
        <v>62109</v>
      </c>
      <c r="F1818" s="2">
        <v>45259</v>
      </c>
    </row>
    <row r="1819" spans="1:6" x14ac:dyDescent="0.25">
      <c r="A1819">
        <v>2017</v>
      </c>
      <c r="B1819" t="s">
        <v>58</v>
      </c>
      <c r="C1819" t="s">
        <v>44</v>
      </c>
      <c r="D1819" s="1">
        <v>42910</v>
      </c>
      <c r="E1819" s="1">
        <v>496944</v>
      </c>
      <c r="F1819" s="2">
        <v>48573</v>
      </c>
    </row>
    <row r="1820" spans="1:6" x14ac:dyDescent="0.25">
      <c r="A1820">
        <v>2017</v>
      </c>
      <c r="B1820" t="s">
        <v>58</v>
      </c>
      <c r="C1820" t="s">
        <v>45</v>
      </c>
      <c r="D1820" s="1">
        <v>56689</v>
      </c>
      <c r="E1820" s="1">
        <v>451563</v>
      </c>
      <c r="F1820" s="2">
        <v>49782</v>
      </c>
    </row>
    <row r="1821" spans="1:6" x14ac:dyDescent="0.25">
      <c r="A1821">
        <v>2017</v>
      </c>
      <c r="B1821" t="s">
        <v>58</v>
      </c>
      <c r="C1821" t="s">
        <v>46</v>
      </c>
      <c r="D1821" s="1">
        <v>5679</v>
      </c>
      <c r="E1821" s="1">
        <v>123772</v>
      </c>
      <c r="F1821" s="2">
        <v>44732</v>
      </c>
    </row>
    <row r="1822" spans="1:6" x14ac:dyDescent="0.25">
      <c r="A1822">
        <v>2017</v>
      </c>
      <c r="B1822" t="s">
        <v>58</v>
      </c>
      <c r="C1822" t="s">
        <v>47</v>
      </c>
      <c r="D1822" s="1">
        <v>25989</v>
      </c>
      <c r="E1822" s="1">
        <v>428367</v>
      </c>
      <c r="F1822" s="2">
        <v>47663</v>
      </c>
    </row>
    <row r="1823" spans="1:6" x14ac:dyDescent="0.25">
      <c r="A1823">
        <v>2017</v>
      </c>
      <c r="B1823" t="s">
        <v>58</v>
      </c>
      <c r="C1823" t="s">
        <v>48</v>
      </c>
      <c r="D1823" s="1">
        <v>3268</v>
      </c>
      <c r="E1823" s="1">
        <v>26479</v>
      </c>
      <c r="F1823" s="2">
        <v>41913</v>
      </c>
    </row>
    <row r="1824" spans="1:6" x14ac:dyDescent="0.25">
      <c r="A1824">
        <v>2017</v>
      </c>
      <c r="B1824" t="s">
        <v>59</v>
      </c>
      <c r="C1824" t="s">
        <v>1</v>
      </c>
      <c r="D1824" s="1">
        <v>10741</v>
      </c>
      <c r="E1824" s="1">
        <v>202336</v>
      </c>
      <c r="F1824" s="2">
        <v>16222</v>
      </c>
    </row>
    <row r="1825" spans="1:6" x14ac:dyDescent="0.25">
      <c r="A1825">
        <v>2017</v>
      </c>
      <c r="B1825" t="s">
        <v>59</v>
      </c>
      <c r="C1825" t="s">
        <v>2</v>
      </c>
      <c r="D1825" s="1">
        <v>12771</v>
      </c>
      <c r="E1825" s="1">
        <v>317076</v>
      </c>
      <c r="F1825" s="2">
        <v>23505</v>
      </c>
    </row>
    <row r="1826" spans="1:6" x14ac:dyDescent="0.25">
      <c r="A1826">
        <v>2017</v>
      </c>
      <c r="B1826" t="s">
        <v>59</v>
      </c>
      <c r="C1826" t="s">
        <v>3</v>
      </c>
      <c r="D1826" s="1">
        <v>7024</v>
      </c>
      <c r="E1826" s="1">
        <v>116690</v>
      </c>
      <c r="F1826" s="2">
        <v>16181</v>
      </c>
    </row>
    <row r="1827" spans="1:6" x14ac:dyDescent="0.25">
      <c r="A1827">
        <v>2017</v>
      </c>
      <c r="B1827" t="s">
        <v>59</v>
      </c>
      <c r="C1827" t="s">
        <v>4</v>
      </c>
      <c r="D1827" s="1">
        <v>103495</v>
      </c>
      <c r="E1827" s="1">
        <v>1935980</v>
      </c>
      <c r="F1827" s="2">
        <v>29214</v>
      </c>
    </row>
    <row r="1828" spans="1:6" x14ac:dyDescent="0.25">
      <c r="A1828">
        <v>2017</v>
      </c>
      <c r="B1828" t="s">
        <v>59</v>
      </c>
      <c r="C1828" t="s">
        <v>5</v>
      </c>
      <c r="D1828" s="1">
        <v>16627</v>
      </c>
      <c r="E1828" s="1">
        <v>333190</v>
      </c>
      <c r="F1828" s="2">
        <v>24462</v>
      </c>
    </row>
    <row r="1829" spans="1:6" x14ac:dyDescent="0.25">
      <c r="A1829">
        <v>2017</v>
      </c>
      <c r="B1829" t="s">
        <v>59</v>
      </c>
      <c r="C1829" t="s">
        <v>6</v>
      </c>
      <c r="D1829" s="1">
        <v>10338</v>
      </c>
      <c r="E1829" s="1">
        <v>156514</v>
      </c>
      <c r="F1829" s="2">
        <v>23066</v>
      </c>
    </row>
    <row r="1830" spans="1:6" x14ac:dyDescent="0.25">
      <c r="A1830">
        <v>2017</v>
      </c>
      <c r="B1830" t="s">
        <v>59</v>
      </c>
      <c r="C1830" t="s">
        <v>7</v>
      </c>
      <c r="D1830" s="1">
        <v>2565</v>
      </c>
      <c r="E1830" s="1">
        <v>50272</v>
      </c>
      <c r="F1830" s="2">
        <v>19997</v>
      </c>
    </row>
    <row r="1831" spans="1:6" x14ac:dyDescent="0.25">
      <c r="A1831">
        <v>2017</v>
      </c>
      <c r="B1831" t="s">
        <v>59</v>
      </c>
      <c r="C1831" t="s">
        <v>8</v>
      </c>
      <c r="D1831" s="1">
        <v>55396</v>
      </c>
      <c r="E1831" s="1">
        <v>1198478</v>
      </c>
      <c r="F1831" s="2">
        <v>24953</v>
      </c>
    </row>
    <row r="1832" spans="1:6" x14ac:dyDescent="0.25">
      <c r="A1832">
        <v>2017</v>
      </c>
      <c r="B1832" t="s">
        <v>59</v>
      </c>
      <c r="C1832" t="s">
        <v>9</v>
      </c>
      <c r="D1832" s="1">
        <v>23538</v>
      </c>
      <c r="E1832" s="1">
        <v>476035</v>
      </c>
      <c r="F1832" s="2">
        <v>20142</v>
      </c>
    </row>
    <row r="1833" spans="1:6" x14ac:dyDescent="0.25">
      <c r="A1833">
        <v>2017</v>
      </c>
      <c r="B1833" t="s">
        <v>59</v>
      </c>
      <c r="C1833" t="s">
        <v>10</v>
      </c>
      <c r="D1833" s="1">
        <v>4906</v>
      </c>
      <c r="E1833" s="1">
        <v>74928</v>
      </c>
      <c r="F1833" s="2">
        <v>16382</v>
      </c>
    </row>
    <row r="1834" spans="1:6" x14ac:dyDescent="0.25">
      <c r="A1834">
        <v>2017</v>
      </c>
      <c r="B1834" t="s">
        <v>59</v>
      </c>
      <c r="C1834" t="s">
        <v>11</v>
      </c>
      <c r="D1834" s="1">
        <v>32076</v>
      </c>
      <c r="E1834" s="1">
        <v>610100</v>
      </c>
      <c r="F1834" s="2">
        <v>22930</v>
      </c>
    </row>
    <row r="1835" spans="1:6" x14ac:dyDescent="0.25">
      <c r="A1835">
        <v>2017</v>
      </c>
      <c r="B1835" t="s">
        <v>59</v>
      </c>
      <c r="C1835" t="s">
        <v>12</v>
      </c>
      <c r="D1835" s="1">
        <v>15273</v>
      </c>
      <c r="E1835" s="1">
        <v>308506</v>
      </c>
      <c r="F1835" s="2">
        <v>18223</v>
      </c>
    </row>
    <row r="1836" spans="1:6" x14ac:dyDescent="0.25">
      <c r="A1836">
        <v>2017</v>
      </c>
      <c r="B1836" t="s">
        <v>59</v>
      </c>
      <c r="C1836" t="s">
        <v>13</v>
      </c>
      <c r="D1836" s="1">
        <v>8532</v>
      </c>
      <c r="E1836" s="1">
        <v>143101</v>
      </c>
      <c r="F1836" s="2">
        <v>16280</v>
      </c>
    </row>
    <row r="1837" spans="1:6" x14ac:dyDescent="0.25">
      <c r="A1837">
        <v>2017</v>
      </c>
      <c r="B1837" t="s">
        <v>59</v>
      </c>
      <c r="C1837" t="s">
        <v>14</v>
      </c>
      <c r="D1837" s="1">
        <v>6839</v>
      </c>
      <c r="E1837" s="1">
        <v>128449</v>
      </c>
      <c r="F1837" s="2">
        <v>16257</v>
      </c>
    </row>
    <row r="1838" spans="1:6" x14ac:dyDescent="0.25">
      <c r="A1838">
        <v>2017</v>
      </c>
      <c r="B1838" t="s">
        <v>59</v>
      </c>
      <c r="C1838" t="s">
        <v>15</v>
      </c>
      <c r="D1838" s="1">
        <v>10063</v>
      </c>
      <c r="E1838" s="1">
        <v>196846</v>
      </c>
      <c r="F1838" s="2">
        <v>17160</v>
      </c>
    </row>
    <row r="1839" spans="1:6" x14ac:dyDescent="0.25">
      <c r="A1839">
        <v>2017</v>
      </c>
      <c r="B1839" t="s">
        <v>59</v>
      </c>
      <c r="C1839" t="s">
        <v>16</v>
      </c>
      <c r="D1839" s="1">
        <v>12015</v>
      </c>
      <c r="E1839" s="1">
        <v>233109</v>
      </c>
      <c r="F1839" s="2">
        <v>20623</v>
      </c>
    </row>
    <row r="1840" spans="1:6" x14ac:dyDescent="0.25">
      <c r="A1840">
        <v>2017</v>
      </c>
      <c r="B1840" t="s">
        <v>59</v>
      </c>
      <c r="C1840" t="s">
        <v>17</v>
      </c>
      <c r="D1840" s="1">
        <v>5119</v>
      </c>
      <c r="E1840" s="1">
        <v>67354</v>
      </c>
      <c r="F1840" s="2">
        <v>21119</v>
      </c>
    </row>
    <row r="1841" spans="1:6" x14ac:dyDescent="0.25">
      <c r="A1841">
        <v>2017</v>
      </c>
      <c r="B1841" t="s">
        <v>59</v>
      </c>
      <c r="C1841" t="s">
        <v>18</v>
      </c>
      <c r="D1841" s="1">
        <v>14733</v>
      </c>
      <c r="E1841" s="1">
        <v>280195</v>
      </c>
      <c r="F1841" s="2">
        <v>23436</v>
      </c>
    </row>
    <row r="1842" spans="1:6" x14ac:dyDescent="0.25">
      <c r="A1842">
        <v>2017</v>
      </c>
      <c r="B1842" t="s">
        <v>59</v>
      </c>
      <c r="C1842" t="s">
        <v>19</v>
      </c>
      <c r="D1842" s="1">
        <v>20695</v>
      </c>
      <c r="E1842" s="1">
        <v>369350</v>
      </c>
      <c r="F1842" s="2">
        <v>26779</v>
      </c>
    </row>
    <row r="1843" spans="1:6" x14ac:dyDescent="0.25">
      <c r="A1843">
        <v>2017</v>
      </c>
      <c r="B1843" t="s">
        <v>59</v>
      </c>
      <c r="C1843" t="s">
        <v>20</v>
      </c>
      <c r="D1843" s="1">
        <v>21783</v>
      </c>
      <c r="E1843" s="1">
        <v>431316</v>
      </c>
      <c r="F1843" s="2">
        <v>19834</v>
      </c>
    </row>
    <row r="1844" spans="1:6" x14ac:dyDescent="0.25">
      <c r="A1844">
        <v>2017</v>
      </c>
      <c r="B1844" t="s">
        <v>59</v>
      </c>
      <c r="C1844" t="s">
        <v>21</v>
      </c>
      <c r="D1844" s="1">
        <v>14729</v>
      </c>
      <c r="E1844" s="1">
        <v>270490</v>
      </c>
      <c r="F1844" s="2">
        <v>21386</v>
      </c>
    </row>
    <row r="1845" spans="1:6" x14ac:dyDescent="0.25">
      <c r="A1845">
        <v>2017</v>
      </c>
      <c r="B1845" t="s">
        <v>59</v>
      </c>
      <c r="C1845" t="s">
        <v>22</v>
      </c>
      <c r="D1845" s="1">
        <v>6381</v>
      </c>
      <c r="E1845" s="1">
        <v>134613</v>
      </c>
      <c r="F1845" s="2">
        <v>17011</v>
      </c>
    </row>
    <row r="1846" spans="1:6" x14ac:dyDescent="0.25">
      <c r="A1846">
        <v>2017</v>
      </c>
      <c r="B1846" t="s">
        <v>59</v>
      </c>
      <c r="C1846" t="s">
        <v>23</v>
      </c>
      <c r="D1846" s="1">
        <v>14797</v>
      </c>
      <c r="E1846" s="1">
        <v>303022</v>
      </c>
      <c r="F1846" s="2">
        <v>20276</v>
      </c>
    </row>
    <row r="1847" spans="1:6" x14ac:dyDescent="0.25">
      <c r="A1847">
        <v>2017</v>
      </c>
      <c r="B1847" t="s">
        <v>59</v>
      </c>
      <c r="C1847" t="s">
        <v>24</v>
      </c>
      <c r="D1847" s="1">
        <v>4978</v>
      </c>
      <c r="E1847" s="1">
        <v>64958</v>
      </c>
      <c r="F1847" s="2">
        <v>18625</v>
      </c>
    </row>
    <row r="1848" spans="1:6" x14ac:dyDescent="0.25">
      <c r="A1848">
        <v>2017</v>
      </c>
      <c r="B1848" t="s">
        <v>59</v>
      </c>
      <c r="C1848" t="s">
        <v>25</v>
      </c>
      <c r="D1848" s="1">
        <v>5508</v>
      </c>
      <c r="E1848" s="1">
        <v>91776</v>
      </c>
      <c r="F1848" s="2">
        <v>16253</v>
      </c>
    </row>
    <row r="1849" spans="1:6" x14ac:dyDescent="0.25">
      <c r="A1849">
        <v>2017</v>
      </c>
      <c r="B1849" t="s">
        <v>59</v>
      </c>
      <c r="C1849" t="s">
        <v>26</v>
      </c>
      <c r="D1849" s="1">
        <v>8246</v>
      </c>
      <c r="E1849" s="1">
        <v>348888</v>
      </c>
      <c r="F1849" s="2">
        <v>33048</v>
      </c>
    </row>
    <row r="1850" spans="1:6" x14ac:dyDescent="0.25">
      <c r="A1850">
        <v>2017</v>
      </c>
      <c r="B1850" t="s">
        <v>59</v>
      </c>
      <c r="C1850" t="s">
        <v>27</v>
      </c>
      <c r="D1850" s="1">
        <v>4512</v>
      </c>
      <c r="E1850" s="1">
        <v>70729</v>
      </c>
      <c r="F1850" s="2">
        <v>21058</v>
      </c>
    </row>
    <row r="1851" spans="1:6" x14ac:dyDescent="0.25">
      <c r="A1851">
        <v>2017</v>
      </c>
      <c r="B1851" t="s">
        <v>59</v>
      </c>
      <c r="C1851" t="s">
        <v>28</v>
      </c>
      <c r="D1851" s="1">
        <v>23501</v>
      </c>
      <c r="E1851" s="1">
        <v>372798</v>
      </c>
      <c r="F1851" s="2">
        <v>24851</v>
      </c>
    </row>
    <row r="1852" spans="1:6" x14ac:dyDescent="0.25">
      <c r="A1852">
        <v>2017</v>
      </c>
      <c r="B1852" t="s">
        <v>59</v>
      </c>
      <c r="C1852" t="s">
        <v>29</v>
      </c>
      <c r="D1852" s="1">
        <v>4929</v>
      </c>
      <c r="E1852" s="1">
        <v>96321</v>
      </c>
      <c r="F1852" s="2">
        <v>17901</v>
      </c>
    </row>
    <row r="1853" spans="1:6" x14ac:dyDescent="0.25">
      <c r="A1853">
        <v>2017</v>
      </c>
      <c r="B1853" t="s">
        <v>59</v>
      </c>
      <c r="C1853" t="s">
        <v>30</v>
      </c>
      <c r="D1853" s="1">
        <v>66166</v>
      </c>
      <c r="E1853" s="1">
        <v>944545</v>
      </c>
      <c r="F1853" s="2">
        <v>32365</v>
      </c>
    </row>
    <row r="1854" spans="1:6" x14ac:dyDescent="0.25">
      <c r="A1854">
        <v>2017</v>
      </c>
      <c r="B1854" t="s">
        <v>59</v>
      </c>
      <c r="C1854" t="s">
        <v>31</v>
      </c>
      <c r="D1854" s="1">
        <v>25235</v>
      </c>
      <c r="E1854" s="1">
        <v>493758</v>
      </c>
      <c r="F1854" s="2">
        <v>19111</v>
      </c>
    </row>
    <row r="1855" spans="1:6" x14ac:dyDescent="0.25">
      <c r="A1855">
        <v>2017</v>
      </c>
      <c r="B1855" t="s">
        <v>59</v>
      </c>
      <c r="C1855" t="s">
        <v>32</v>
      </c>
      <c r="D1855" s="1">
        <v>2600</v>
      </c>
      <c r="E1855" s="1">
        <v>39316</v>
      </c>
      <c r="F1855" s="2">
        <v>17400</v>
      </c>
    </row>
    <row r="1856" spans="1:6" x14ac:dyDescent="0.25">
      <c r="A1856">
        <v>2017</v>
      </c>
      <c r="B1856" t="s">
        <v>59</v>
      </c>
      <c r="C1856" t="s">
        <v>33</v>
      </c>
      <c r="D1856" s="1">
        <v>28218</v>
      </c>
      <c r="E1856" s="1">
        <v>560257</v>
      </c>
      <c r="F1856" s="2">
        <v>18856</v>
      </c>
    </row>
    <row r="1857" spans="1:6" x14ac:dyDescent="0.25">
      <c r="A1857">
        <v>2017</v>
      </c>
      <c r="B1857" t="s">
        <v>59</v>
      </c>
      <c r="C1857" t="s">
        <v>34</v>
      </c>
      <c r="D1857" s="1">
        <v>8969</v>
      </c>
      <c r="E1857" s="1">
        <v>167540</v>
      </c>
      <c r="F1857" s="2">
        <v>17729</v>
      </c>
    </row>
    <row r="1858" spans="1:6" x14ac:dyDescent="0.25">
      <c r="A1858">
        <v>2017</v>
      </c>
      <c r="B1858" t="s">
        <v>59</v>
      </c>
      <c r="C1858" t="s">
        <v>35</v>
      </c>
      <c r="D1858" s="1">
        <v>13588</v>
      </c>
      <c r="E1858" s="1">
        <v>205823</v>
      </c>
      <c r="F1858" s="2">
        <v>21379</v>
      </c>
    </row>
    <row r="1859" spans="1:6" x14ac:dyDescent="0.25">
      <c r="A1859">
        <v>2017</v>
      </c>
      <c r="B1859" t="s">
        <v>59</v>
      </c>
      <c r="C1859" t="s">
        <v>36</v>
      </c>
      <c r="D1859" s="1">
        <v>33146</v>
      </c>
      <c r="E1859" s="1">
        <v>566779</v>
      </c>
      <c r="F1859" s="2">
        <v>20389</v>
      </c>
    </row>
    <row r="1860" spans="1:6" x14ac:dyDescent="0.25">
      <c r="A1860">
        <v>2017</v>
      </c>
      <c r="B1860" t="s">
        <v>59</v>
      </c>
      <c r="C1860" t="s">
        <v>37</v>
      </c>
      <c r="D1860" s="1">
        <v>3683</v>
      </c>
      <c r="E1860" s="1">
        <v>58183</v>
      </c>
      <c r="F1860" s="2">
        <v>22353</v>
      </c>
    </row>
    <row r="1861" spans="1:6" x14ac:dyDescent="0.25">
      <c r="A1861">
        <v>2017</v>
      </c>
      <c r="B1861" t="s">
        <v>59</v>
      </c>
      <c r="C1861" t="s">
        <v>38</v>
      </c>
      <c r="D1861" s="1">
        <v>12337</v>
      </c>
      <c r="E1861" s="1">
        <v>254069</v>
      </c>
      <c r="F1861" s="2">
        <v>17885</v>
      </c>
    </row>
    <row r="1862" spans="1:6" x14ac:dyDescent="0.25">
      <c r="A1862">
        <v>2017</v>
      </c>
      <c r="B1862" t="s">
        <v>59</v>
      </c>
      <c r="C1862" t="s">
        <v>39</v>
      </c>
      <c r="D1862" s="1">
        <v>3109</v>
      </c>
      <c r="E1862" s="1">
        <v>46967</v>
      </c>
      <c r="F1862" s="2">
        <v>16460</v>
      </c>
    </row>
    <row r="1863" spans="1:6" x14ac:dyDescent="0.25">
      <c r="A1863">
        <v>2017</v>
      </c>
      <c r="B1863" t="s">
        <v>59</v>
      </c>
      <c r="C1863" t="s">
        <v>40</v>
      </c>
      <c r="D1863" s="1">
        <v>15932</v>
      </c>
      <c r="E1863" s="1">
        <v>328856</v>
      </c>
      <c r="F1863" s="2">
        <v>22398</v>
      </c>
    </row>
    <row r="1864" spans="1:6" x14ac:dyDescent="0.25">
      <c r="A1864">
        <v>2017</v>
      </c>
      <c r="B1864" t="s">
        <v>59</v>
      </c>
      <c r="C1864" t="s">
        <v>41</v>
      </c>
      <c r="D1864" s="1">
        <v>60744</v>
      </c>
      <c r="E1864" s="1">
        <v>1317762</v>
      </c>
      <c r="F1864" s="2">
        <v>21234</v>
      </c>
    </row>
    <row r="1865" spans="1:6" x14ac:dyDescent="0.25">
      <c r="A1865">
        <v>2017</v>
      </c>
      <c r="B1865" t="s">
        <v>59</v>
      </c>
      <c r="C1865" t="s">
        <v>42</v>
      </c>
      <c r="D1865" s="1">
        <v>7068</v>
      </c>
      <c r="E1865" s="1">
        <v>142985</v>
      </c>
      <c r="F1865" s="2">
        <v>19510</v>
      </c>
    </row>
    <row r="1866" spans="1:6" x14ac:dyDescent="0.25">
      <c r="A1866">
        <v>2017</v>
      </c>
      <c r="B1866" t="s">
        <v>59</v>
      </c>
      <c r="C1866" t="s">
        <v>43</v>
      </c>
      <c r="D1866" s="1">
        <v>2266</v>
      </c>
      <c r="E1866" s="1">
        <v>37337</v>
      </c>
      <c r="F1866" s="2">
        <v>22375</v>
      </c>
    </row>
    <row r="1867" spans="1:6" x14ac:dyDescent="0.25">
      <c r="A1867">
        <v>2017</v>
      </c>
      <c r="B1867" t="s">
        <v>59</v>
      </c>
      <c r="C1867" t="s">
        <v>44</v>
      </c>
      <c r="D1867" s="1">
        <v>20269</v>
      </c>
      <c r="E1867" s="1">
        <v>402475</v>
      </c>
      <c r="F1867" s="2">
        <v>20078</v>
      </c>
    </row>
    <row r="1868" spans="1:6" x14ac:dyDescent="0.25">
      <c r="A1868">
        <v>2017</v>
      </c>
      <c r="B1868" t="s">
        <v>59</v>
      </c>
      <c r="C1868" t="s">
        <v>45</v>
      </c>
      <c r="D1868" s="1">
        <v>20065</v>
      </c>
      <c r="E1868" s="1">
        <v>325141</v>
      </c>
      <c r="F1868" s="2">
        <v>24250</v>
      </c>
    </row>
    <row r="1869" spans="1:6" x14ac:dyDescent="0.25">
      <c r="A1869">
        <v>2017</v>
      </c>
      <c r="B1869" t="s">
        <v>59</v>
      </c>
      <c r="C1869" t="s">
        <v>46</v>
      </c>
      <c r="D1869" s="1">
        <v>4646</v>
      </c>
      <c r="E1869" s="1">
        <v>74275</v>
      </c>
      <c r="F1869" s="2">
        <v>17335</v>
      </c>
    </row>
    <row r="1870" spans="1:6" x14ac:dyDescent="0.25">
      <c r="A1870">
        <v>2017</v>
      </c>
      <c r="B1870" t="s">
        <v>59</v>
      </c>
      <c r="C1870" t="s">
        <v>47</v>
      </c>
      <c r="D1870" s="1">
        <v>16599</v>
      </c>
      <c r="E1870" s="1">
        <v>279749</v>
      </c>
      <c r="F1870" s="2">
        <v>17248</v>
      </c>
    </row>
    <row r="1871" spans="1:6" x14ac:dyDescent="0.25">
      <c r="A1871">
        <v>2017</v>
      </c>
      <c r="B1871" t="s">
        <v>59</v>
      </c>
      <c r="C1871" t="s">
        <v>48</v>
      </c>
      <c r="D1871" s="1">
        <v>2355</v>
      </c>
      <c r="E1871" s="1">
        <v>36297</v>
      </c>
      <c r="F1871" s="2">
        <v>19867</v>
      </c>
    </row>
    <row r="1872" spans="1:6" x14ac:dyDescent="0.25">
      <c r="A1872">
        <v>2017</v>
      </c>
      <c r="B1872" t="s">
        <v>60</v>
      </c>
      <c r="C1872" t="s">
        <v>1</v>
      </c>
      <c r="D1872" s="1">
        <v>9603</v>
      </c>
      <c r="E1872" s="1">
        <v>45296</v>
      </c>
      <c r="F1872" s="2">
        <v>36539</v>
      </c>
    </row>
    <row r="1873" spans="1:6" x14ac:dyDescent="0.25">
      <c r="A1873">
        <v>2017</v>
      </c>
      <c r="B1873" t="s">
        <v>60</v>
      </c>
      <c r="C1873" t="s">
        <v>2</v>
      </c>
      <c r="D1873" s="1">
        <v>10297</v>
      </c>
      <c r="E1873" s="1">
        <v>71320</v>
      </c>
      <c r="F1873" s="2">
        <v>37061</v>
      </c>
    </row>
    <row r="1874" spans="1:6" x14ac:dyDescent="0.25">
      <c r="A1874">
        <v>2017</v>
      </c>
      <c r="B1874" t="s">
        <v>60</v>
      </c>
      <c r="C1874" t="s">
        <v>3</v>
      </c>
      <c r="D1874" s="1">
        <v>5315</v>
      </c>
      <c r="E1874" s="1">
        <v>24804</v>
      </c>
      <c r="F1874" s="2">
        <v>33179</v>
      </c>
    </row>
    <row r="1875" spans="1:6" x14ac:dyDescent="0.25">
      <c r="A1875">
        <v>2017</v>
      </c>
      <c r="B1875" t="s">
        <v>60</v>
      </c>
      <c r="C1875" t="s">
        <v>4</v>
      </c>
      <c r="D1875" s="1">
        <v>88470</v>
      </c>
      <c r="E1875" s="1">
        <v>527915</v>
      </c>
      <c r="F1875" s="2">
        <v>40412</v>
      </c>
    </row>
    <row r="1876" spans="1:6" x14ac:dyDescent="0.25">
      <c r="A1876">
        <v>2017</v>
      </c>
      <c r="B1876" t="s">
        <v>60</v>
      </c>
      <c r="C1876" t="s">
        <v>5</v>
      </c>
      <c r="D1876" s="1">
        <v>15777</v>
      </c>
      <c r="E1876" s="1">
        <v>80034</v>
      </c>
      <c r="F1876" s="2">
        <v>39558</v>
      </c>
    </row>
    <row r="1877" spans="1:6" x14ac:dyDescent="0.25">
      <c r="A1877">
        <v>2017</v>
      </c>
      <c r="B1877" t="s">
        <v>60</v>
      </c>
      <c r="C1877" t="s">
        <v>6</v>
      </c>
      <c r="D1877" s="1">
        <v>16529</v>
      </c>
      <c r="E1877" s="1">
        <v>64279</v>
      </c>
      <c r="F1877" s="2">
        <v>33397</v>
      </c>
    </row>
    <row r="1878" spans="1:6" x14ac:dyDescent="0.25">
      <c r="A1878">
        <v>2017</v>
      </c>
      <c r="B1878" t="s">
        <v>60</v>
      </c>
      <c r="C1878" t="s">
        <v>7</v>
      </c>
      <c r="D1878" s="1">
        <v>2003</v>
      </c>
      <c r="E1878" s="1">
        <v>11881</v>
      </c>
      <c r="F1878" s="2">
        <v>33610</v>
      </c>
    </row>
    <row r="1879" spans="1:6" x14ac:dyDescent="0.25">
      <c r="A1879">
        <v>2017</v>
      </c>
      <c r="B1879" t="s">
        <v>60</v>
      </c>
      <c r="C1879" t="s">
        <v>8</v>
      </c>
      <c r="D1879" s="1">
        <v>54928</v>
      </c>
      <c r="E1879" s="1">
        <v>273903</v>
      </c>
      <c r="F1879" s="2">
        <v>35319</v>
      </c>
    </row>
    <row r="1880" spans="1:6" x14ac:dyDescent="0.25">
      <c r="A1880">
        <v>2017</v>
      </c>
      <c r="B1880" t="s">
        <v>60</v>
      </c>
      <c r="C1880" t="s">
        <v>9</v>
      </c>
      <c r="D1880" s="1">
        <v>18097</v>
      </c>
      <c r="E1880" s="1">
        <v>106445</v>
      </c>
      <c r="F1880" s="2">
        <v>35520</v>
      </c>
    </row>
    <row r="1881" spans="1:6" x14ac:dyDescent="0.25">
      <c r="A1881">
        <v>2017</v>
      </c>
      <c r="B1881" t="s">
        <v>60</v>
      </c>
      <c r="C1881" t="s">
        <v>10</v>
      </c>
      <c r="D1881" s="1">
        <v>3888</v>
      </c>
      <c r="E1881" s="1">
        <v>17915</v>
      </c>
      <c r="F1881" s="2">
        <v>30056</v>
      </c>
    </row>
    <row r="1882" spans="1:6" x14ac:dyDescent="0.25">
      <c r="A1882">
        <v>2017</v>
      </c>
      <c r="B1882" t="s">
        <v>60</v>
      </c>
      <c r="C1882" t="s">
        <v>11</v>
      </c>
      <c r="D1882" s="1">
        <v>39500</v>
      </c>
      <c r="E1882" s="1">
        <v>206494</v>
      </c>
      <c r="F1882" s="2">
        <v>41240</v>
      </c>
    </row>
    <row r="1883" spans="1:6" x14ac:dyDescent="0.25">
      <c r="A1883">
        <v>2017</v>
      </c>
      <c r="B1883" t="s">
        <v>60</v>
      </c>
      <c r="C1883" t="s">
        <v>12</v>
      </c>
      <c r="D1883" s="1">
        <v>13113</v>
      </c>
      <c r="E1883" s="1">
        <v>86944</v>
      </c>
      <c r="F1883" s="2">
        <v>31882</v>
      </c>
    </row>
    <row r="1884" spans="1:6" x14ac:dyDescent="0.25">
      <c r="A1884">
        <v>2017</v>
      </c>
      <c r="B1884" t="s">
        <v>60</v>
      </c>
      <c r="C1884" t="s">
        <v>13</v>
      </c>
      <c r="D1884" s="1">
        <v>8710</v>
      </c>
      <c r="E1884" s="1">
        <v>42498</v>
      </c>
      <c r="F1884" s="2">
        <v>33069</v>
      </c>
    </row>
    <row r="1885" spans="1:6" x14ac:dyDescent="0.25">
      <c r="A1885">
        <v>2017</v>
      </c>
      <c r="B1885" t="s">
        <v>60</v>
      </c>
      <c r="C1885" t="s">
        <v>14</v>
      </c>
      <c r="D1885" s="1">
        <v>6031</v>
      </c>
      <c r="E1885" s="1">
        <v>33578</v>
      </c>
      <c r="F1885" s="2">
        <v>33575</v>
      </c>
    </row>
    <row r="1886" spans="1:6" x14ac:dyDescent="0.25">
      <c r="A1886">
        <v>2017</v>
      </c>
      <c r="B1886" t="s">
        <v>60</v>
      </c>
      <c r="C1886" t="s">
        <v>15</v>
      </c>
      <c r="D1886" s="1">
        <v>10912</v>
      </c>
      <c r="E1886" s="1">
        <v>46382</v>
      </c>
      <c r="F1886" s="2">
        <v>32330</v>
      </c>
    </row>
    <row r="1887" spans="1:6" x14ac:dyDescent="0.25">
      <c r="A1887">
        <v>2017</v>
      </c>
      <c r="B1887" t="s">
        <v>60</v>
      </c>
      <c r="C1887" t="s">
        <v>16</v>
      </c>
      <c r="D1887" s="1">
        <v>9250</v>
      </c>
      <c r="E1887" s="1">
        <v>45963</v>
      </c>
      <c r="F1887" s="2">
        <v>36468</v>
      </c>
    </row>
    <row r="1888" spans="1:6" x14ac:dyDescent="0.25">
      <c r="A1888">
        <v>2017</v>
      </c>
      <c r="B1888" t="s">
        <v>60</v>
      </c>
      <c r="C1888" t="s">
        <v>17</v>
      </c>
      <c r="D1888" s="1">
        <v>4028</v>
      </c>
      <c r="E1888" s="1">
        <v>17774</v>
      </c>
      <c r="F1888" s="2">
        <v>32993</v>
      </c>
    </row>
    <row r="1889" spans="1:6" x14ac:dyDescent="0.25">
      <c r="A1889">
        <v>2017</v>
      </c>
      <c r="B1889" t="s">
        <v>60</v>
      </c>
      <c r="C1889" t="s">
        <v>18</v>
      </c>
      <c r="D1889" s="1">
        <v>19506</v>
      </c>
      <c r="E1889" s="1">
        <v>91492</v>
      </c>
      <c r="F1889" s="2">
        <v>41793</v>
      </c>
    </row>
    <row r="1890" spans="1:6" x14ac:dyDescent="0.25">
      <c r="A1890">
        <v>2017</v>
      </c>
      <c r="B1890" t="s">
        <v>60</v>
      </c>
      <c r="C1890" t="s">
        <v>19</v>
      </c>
      <c r="D1890" s="1">
        <v>21677</v>
      </c>
      <c r="E1890" s="1">
        <v>118160</v>
      </c>
      <c r="F1890" s="2">
        <v>37032</v>
      </c>
    </row>
    <row r="1891" spans="1:6" x14ac:dyDescent="0.25">
      <c r="A1891">
        <v>2017</v>
      </c>
      <c r="B1891" t="s">
        <v>60</v>
      </c>
      <c r="C1891" t="s">
        <v>20</v>
      </c>
      <c r="D1891" s="1">
        <v>29930</v>
      </c>
      <c r="E1891" s="1">
        <v>137568</v>
      </c>
      <c r="F1891" s="2">
        <v>32157</v>
      </c>
    </row>
    <row r="1892" spans="1:6" x14ac:dyDescent="0.25">
      <c r="A1892">
        <v>2017</v>
      </c>
      <c r="B1892" t="s">
        <v>60</v>
      </c>
      <c r="C1892" t="s">
        <v>21</v>
      </c>
      <c r="D1892" s="1">
        <v>16226</v>
      </c>
      <c r="E1892" s="1">
        <v>90138</v>
      </c>
      <c r="F1892" s="2">
        <v>33237</v>
      </c>
    </row>
    <row r="1893" spans="1:6" x14ac:dyDescent="0.25">
      <c r="A1893">
        <v>2017</v>
      </c>
      <c r="B1893" t="s">
        <v>60</v>
      </c>
      <c r="C1893" t="s">
        <v>22</v>
      </c>
      <c r="D1893" s="1">
        <v>4726</v>
      </c>
      <c r="E1893" s="1">
        <v>21154</v>
      </c>
      <c r="F1893" s="2">
        <v>33958</v>
      </c>
    </row>
    <row r="1894" spans="1:6" x14ac:dyDescent="0.25">
      <c r="A1894">
        <v>2017</v>
      </c>
      <c r="B1894" t="s">
        <v>60</v>
      </c>
      <c r="C1894" t="s">
        <v>23</v>
      </c>
      <c r="D1894" s="1">
        <v>13734</v>
      </c>
      <c r="E1894" s="1">
        <v>76037</v>
      </c>
      <c r="F1894" s="2">
        <v>32705</v>
      </c>
    </row>
    <row r="1895" spans="1:6" x14ac:dyDescent="0.25">
      <c r="A1895">
        <v>2017</v>
      </c>
      <c r="B1895" t="s">
        <v>60</v>
      </c>
      <c r="C1895" t="s">
        <v>24</v>
      </c>
      <c r="D1895" s="1">
        <v>4094</v>
      </c>
      <c r="E1895" s="1">
        <v>17909</v>
      </c>
      <c r="F1895" s="2">
        <v>29177</v>
      </c>
    </row>
    <row r="1896" spans="1:6" x14ac:dyDescent="0.25">
      <c r="A1896">
        <v>2017</v>
      </c>
      <c r="B1896" t="s">
        <v>60</v>
      </c>
      <c r="C1896" t="s">
        <v>25</v>
      </c>
      <c r="D1896" s="1">
        <v>4671</v>
      </c>
      <c r="E1896" s="1">
        <v>25082</v>
      </c>
      <c r="F1896" s="2">
        <v>31310</v>
      </c>
    </row>
    <row r="1897" spans="1:6" x14ac:dyDescent="0.25">
      <c r="A1897">
        <v>2017</v>
      </c>
      <c r="B1897" t="s">
        <v>60</v>
      </c>
      <c r="C1897" t="s">
        <v>26</v>
      </c>
      <c r="D1897" s="1">
        <v>4959</v>
      </c>
      <c r="E1897" s="1">
        <v>33667</v>
      </c>
      <c r="F1897" s="2">
        <v>36336</v>
      </c>
    </row>
    <row r="1898" spans="1:6" x14ac:dyDescent="0.25">
      <c r="A1898">
        <v>2017</v>
      </c>
      <c r="B1898" t="s">
        <v>60</v>
      </c>
      <c r="C1898" t="s">
        <v>27</v>
      </c>
      <c r="D1898" s="1">
        <v>3871</v>
      </c>
      <c r="E1898" s="1">
        <v>20493</v>
      </c>
      <c r="F1898" s="2">
        <v>36646</v>
      </c>
    </row>
    <row r="1899" spans="1:6" x14ac:dyDescent="0.25">
      <c r="A1899">
        <v>2017</v>
      </c>
      <c r="B1899" t="s">
        <v>60</v>
      </c>
      <c r="C1899" t="s">
        <v>28</v>
      </c>
      <c r="D1899" s="1">
        <v>25881</v>
      </c>
      <c r="E1899" s="1">
        <v>136480</v>
      </c>
      <c r="F1899" s="2">
        <v>35059</v>
      </c>
    </row>
    <row r="1900" spans="1:6" x14ac:dyDescent="0.25">
      <c r="A1900">
        <v>2017</v>
      </c>
      <c r="B1900" t="s">
        <v>60</v>
      </c>
      <c r="C1900" t="s">
        <v>29</v>
      </c>
      <c r="D1900" s="1">
        <v>3961</v>
      </c>
      <c r="E1900" s="1">
        <v>20593</v>
      </c>
      <c r="F1900" s="2">
        <v>32578</v>
      </c>
    </row>
    <row r="1901" spans="1:6" x14ac:dyDescent="0.25">
      <c r="A1901">
        <v>2017</v>
      </c>
      <c r="B1901" t="s">
        <v>60</v>
      </c>
      <c r="C1901" t="s">
        <v>30</v>
      </c>
      <c r="D1901" s="1">
        <v>74536</v>
      </c>
      <c r="E1901" s="1">
        <v>369805</v>
      </c>
      <c r="F1901" s="2">
        <v>40436</v>
      </c>
    </row>
    <row r="1902" spans="1:6" x14ac:dyDescent="0.25">
      <c r="A1902">
        <v>2017</v>
      </c>
      <c r="B1902" t="s">
        <v>60</v>
      </c>
      <c r="C1902" t="s">
        <v>31</v>
      </c>
      <c r="D1902" s="1">
        <v>23024</v>
      </c>
      <c r="E1902" s="1">
        <v>107404</v>
      </c>
      <c r="F1902" s="2">
        <v>33978</v>
      </c>
    </row>
    <row r="1903" spans="1:6" x14ac:dyDescent="0.25">
      <c r="A1903">
        <v>2017</v>
      </c>
      <c r="B1903" t="s">
        <v>60</v>
      </c>
      <c r="C1903" t="s">
        <v>32</v>
      </c>
      <c r="D1903" s="1">
        <v>2040</v>
      </c>
      <c r="E1903" s="1">
        <v>12231</v>
      </c>
      <c r="F1903" s="2">
        <v>34167</v>
      </c>
    </row>
    <row r="1904" spans="1:6" x14ac:dyDescent="0.25">
      <c r="A1904">
        <v>2017</v>
      </c>
      <c r="B1904" t="s">
        <v>60</v>
      </c>
      <c r="C1904" t="s">
        <v>33</v>
      </c>
      <c r="D1904" s="1">
        <v>23601</v>
      </c>
      <c r="E1904" s="1">
        <v>155257</v>
      </c>
      <c r="F1904" s="2">
        <v>33039</v>
      </c>
    </row>
    <row r="1905" spans="1:6" x14ac:dyDescent="0.25">
      <c r="A1905">
        <v>2017</v>
      </c>
      <c r="B1905" t="s">
        <v>60</v>
      </c>
      <c r="C1905" t="s">
        <v>34</v>
      </c>
      <c r="D1905" s="1">
        <v>6751</v>
      </c>
      <c r="E1905" s="1">
        <v>35772</v>
      </c>
      <c r="F1905" s="2">
        <v>34306</v>
      </c>
    </row>
    <row r="1906" spans="1:6" x14ac:dyDescent="0.25">
      <c r="A1906">
        <v>2017</v>
      </c>
      <c r="B1906" t="s">
        <v>60</v>
      </c>
      <c r="C1906" t="s">
        <v>35</v>
      </c>
      <c r="D1906" s="1">
        <v>22753</v>
      </c>
      <c r="E1906" s="1">
        <v>77028</v>
      </c>
      <c r="F1906" s="2">
        <v>31901</v>
      </c>
    </row>
    <row r="1907" spans="1:6" x14ac:dyDescent="0.25">
      <c r="A1907">
        <v>2017</v>
      </c>
      <c r="B1907" t="s">
        <v>60</v>
      </c>
      <c r="C1907" t="s">
        <v>36</v>
      </c>
      <c r="D1907" s="1">
        <v>32259</v>
      </c>
      <c r="E1907" s="1">
        <v>197527</v>
      </c>
      <c r="F1907" s="2">
        <v>32593</v>
      </c>
    </row>
    <row r="1908" spans="1:6" x14ac:dyDescent="0.25">
      <c r="A1908">
        <v>2017</v>
      </c>
      <c r="B1908" t="s">
        <v>60</v>
      </c>
      <c r="C1908" t="s">
        <v>37</v>
      </c>
      <c r="D1908" s="1">
        <v>3395</v>
      </c>
      <c r="E1908" s="1">
        <v>17959</v>
      </c>
      <c r="F1908" s="2">
        <v>32566</v>
      </c>
    </row>
    <row r="1909" spans="1:6" x14ac:dyDescent="0.25">
      <c r="A1909">
        <v>2017</v>
      </c>
      <c r="B1909" t="s">
        <v>60</v>
      </c>
      <c r="C1909" t="s">
        <v>38</v>
      </c>
      <c r="D1909" s="1">
        <v>11490</v>
      </c>
      <c r="E1909" s="1">
        <v>51779</v>
      </c>
      <c r="F1909" s="2">
        <v>32842</v>
      </c>
    </row>
    <row r="1910" spans="1:6" x14ac:dyDescent="0.25">
      <c r="A1910">
        <v>2017</v>
      </c>
      <c r="B1910" t="s">
        <v>60</v>
      </c>
      <c r="C1910" t="s">
        <v>39</v>
      </c>
      <c r="D1910" s="1">
        <v>2171</v>
      </c>
      <c r="E1910" s="1">
        <v>11078</v>
      </c>
      <c r="F1910" s="2">
        <v>31403</v>
      </c>
    </row>
    <row r="1911" spans="1:6" x14ac:dyDescent="0.25">
      <c r="A1911">
        <v>2017</v>
      </c>
      <c r="B1911" t="s">
        <v>60</v>
      </c>
      <c r="C1911" t="s">
        <v>40</v>
      </c>
      <c r="D1911" s="1">
        <v>14618</v>
      </c>
      <c r="E1911" s="1">
        <v>76045</v>
      </c>
      <c r="F1911" s="2">
        <v>34443</v>
      </c>
    </row>
    <row r="1912" spans="1:6" x14ac:dyDescent="0.25">
      <c r="A1912">
        <v>2017</v>
      </c>
      <c r="B1912" t="s">
        <v>60</v>
      </c>
      <c r="C1912" t="s">
        <v>41</v>
      </c>
      <c r="D1912" s="1">
        <v>56060</v>
      </c>
      <c r="E1912" s="1">
        <v>328026</v>
      </c>
      <c r="F1912" s="2">
        <v>37841</v>
      </c>
    </row>
    <row r="1913" spans="1:6" x14ac:dyDescent="0.25">
      <c r="A1913">
        <v>2017</v>
      </c>
      <c r="B1913" t="s">
        <v>60</v>
      </c>
      <c r="C1913" t="s">
        <v>42</v>
      </c>
      <c r="D1913" s="1">
        <v>6084</v>
      </c>
      <c r="E1913" s="1">
        <v>35143</v>
      </c>
      <c r="F1913" s="2">
        <v>34421</v>
      </c>
    </row>
    <row r="1914" spans="1:6" x14ac:dyDescent="0.25">
      <c r="A1914">
        <v>2017</v>
      </c>
      <c r="B1914" t="s">
        <v>60</v>
      </c>
      <c r="C1914" t="s">
        <v>43</v>
      </c>
      <c r="D1914" s="1">
        <v>1958</v>
      </c>
      <c r="E1914" s="1">
        <v>8658</v>
      </c>
      <c r="F1914" s="2">
        <v>34757</v>
      </c>
    </row>
    <row r="1915" spans="1:6" x14ac:dyDescent="0.25">
      <c r="A1915">
        <v>2017</v>
      </c>
      <c r="B1915" t="s">
        <v>60</v>
      </c>
      <c r="C1915" t="s">
        <v>44</v>
      </c>
      <c r="D1915" s="1">
        <v>32154</v>
      </c>
      <c r="E1915" s="1">
        <v>141985</v>
      </c>
      <c r="F1915" s="2">
        <v>42290</v>
      </c>
    </row>
    <row r="1916" spans="1:6" x14ac:dyDescent="0.25">
      <c r="A1916">
        <v>2017</v>
      </c>
      <c r="B1916" t="s">
        <v>60</v>
      </c>
      <c r="C1916" t="s">
        <v>45</v>
      </c>
      <c r="D1916" s="1">
        <v>19701</v>
      </c>
      <c r="E1916" s="1">
        <v>97492</v>
      </c>
      <c r="F1916" s="2">
        <v>38822</v>
      </c>
    </row>
    <row r="1917" spans="1:6" x14ac:dyDescent="0.25">
      <c r="A1917">
        <v>2017</v>
      </c>
      <c r="B1917" t="s">
        <v>60</v>
      </c>
      <c r="C1917" t="s">
        <v>46</v>
      </c>
      <c r="D1917" s="1">
        <v>5237</v>
      </c>
      <c r="E1917" s="1">
        <v>19979</v>
      </c>
      <c r="F1917" s="2">
        <v>29927</v>
      </c>
    </row>
    <row r="1918" spans="1:6" x14ac:dyDescent="0.25">
      <c r="A1918">
        <v>2017</v>
      </c>
      <c r="B1918" t="s">
        <v>60</v>
      </c>
      <c r="C1918" t="s">
        <v>47</v>
      </c>
      <c r="D1918" s="1">
        <v>14001</v>
      </c>
      <c r="E1918" s="1">
        <v>84153</v>
      </c>
      <c r="F1918" s="2">
        <v>29242</v>
      </c>
    </row>
    <row r="1919" spans="1:6" x14ac:dyDescent="0.25">
      <c r="A1919">
        <v>2017</v>
      </c>
      <c r="B1919" t="s">
        <v>60</v>
      </c>
      <c r="C1919" t="s">
        <v>48</v>
      </c>
      <c r="D1919" s="1">
        <v>1656</v>
      </c>
      <c r="E1919" s="1">
        <v>7231</v>
      </c>
      <c r="F1919" s="2">
        <v>35035</v>
      </c>
    </row>
  </sheetData>
  <customSheetViews>
    <customSheetView guid="{A1F01C08-243B-48FC-94A8-F102AEB1706D}">
      <selection activeCell="F150" sqref="F150"/>
      <pageMargins left="0.7" right="0.7" top="0.75" bottom="0.75" header="0.3" footer="0.3"/>
      <pageSetup orientation="portrait" r:id="rId1"/>
    </customSheetView>
    <customSheetView guid="{948164EF-B902-4A6C-8E3C-A935061C5153}" state="hidden">
      <selection activeCell="F150" sqref="F150"/>
      <pageMargins left="0.7" right="0.7" top="0.75" bottom="0.75" header="0.3" footer="0.3"/>
      <pageSetup orientation="portrait" r:id="rId2"/>
    </customSheetView>
  </customSheetView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D32E04-0477-4E7A-AF15-A7A2ADEB6D18}">
  <dimension ref="A1:A49"/>
  <sheetViews>
    <sheetView workbookViewId="0">
      <selection activeCell="A2" sqref="A2:A49"/>
    </sheetView>
  </sheetViews>
  <sheetFormatPr defaultRowHeight="15" x14ac:dyDescent="0.25"/>
  <cols>
    <col min="1" max="1" width="18.7109375" customWidth="1"/>
  </cols>
  <sheetData>
    <row r="1" spans="1:1" x14ac:dyDescent="0.25">
      <c r="A1" s="3" t="s">
        <v>0</v>
      </c>
    </row>
    <row r="2" spans="1:1" x14ac:dyDescent="0.25">
      <c r="A2" t="s">
        <v>1</v>
      </c>
    </row>
    <row r="3" spans="1:1" x14ac:dyDescent="0.25">
      <c r="A3" t="s">
        <v>2</v>
      </c>
    </row>
    <row r="4" spans="1:1" x14ac:dyDescent="0.25">
      <c r="A4" t="s">
        <v>3</v>
      </c>
    </row>
    <row r="5" spans="1:1" x14ac:dyDescent="0.25">
      <c r="A5" t="s">
        <v>4</v>
      </c>
    </row>
    <row r="6" spans="1:1" x14ac:dyDescent="0.25">
      <c r="A6" t="s">
        <v>5</v>
      </c>
    </row>
    <row r="7" spans="1:1" x14ac:dyDescent="0.25">
      <c r="A7" t="s">
        <v>6</v>
      </c>
    </row>
    <row r="8" spans="1:1" x14ac:dyDescent="0.25">
      <c r="A8" t="s">
        <v>7</v>
      </c>
    </row>
    <row r="9" spans="1:1" x14ac:dyDescent="0.25">
      <c r="A9" t="s">
        <v>8</v>
      </c>
    </row>
    <row r="10" spans="1:1" x14ac:dyDescent="0.25">
      <c r="A10" t="s">
        <v>9</v>
      </c>
    </row>
    <row r="11" spans="1:1" x14ac:dyDescent="0.25">
      <c r="A11" t="s">
        <v>10</v>
      </c>
    </row>
    <row r="12" spans="1:1" x14ac:dyDescent="0.25">
      <c r="A12" t="s">
        <v>11</v>
      </c>
    </row>
    <row r="13" spans="1:1" x14ac:dyDescent="0.25">
      <c r="A13" t="s">
        <v>12</v>
      </c>
    </row>
    <row r="14" spans="1:1" x14ac:dyDescent="0.25">
      <c r="A14" t="s">
        <v>13</v>
      </c>
    </row>
    <row r="15" spans="1:1" x14ac:dyDescent="0.25">
      <c r="A15" t="s">
        <v>14</v>
      </c>
    </row>
    <row r="16" spans="1:1" x14ac:dyDescent="0.25">
      <c r="A16" t="s">
        <v>15</v>
      </c>
    </row>
    <row r="17" spans="1:1" x14ac:dyDescent="0.25">
      <c r="A17" t="s">
        <v>16</v>
      </c>
    </row>
    <row r="18" spans="1:1" x14ac:dyDescent="0.25">
      <c r="A18" t="s">
        <v>17</v>
      </c>
    </row>
    <row r="19" spans="1:1" x14ac:dyDescent="0.25">
      <c r="A19" t="s">
        <v>18</v>
      </c>
    </row>
    <row r="20" spans="1:1" x14ac:dyDescent="0.25">
      <c r="A20" t="s">
        <v>19</v>
      </c>
    </row>
    <row r="21" spans="1:1" x14ac:dyDescent="0.25">
      <c r="A21" t="s">
        <v>20</v>
      </c>
    </row>
    <row r="22" spans="1:1" x14ac:dyDescent="0.25">
      <c r="A22" t="s">
        <v>21</v>
      </c>
    </row>
    <row r="23" spans="1:1" x14ac:dyDescent="0.25">
      <c r="A23" t="s">
        <v>22</v>
      </c>
    </row>
    <row r="24" spans="1:1" x14ac:dyDescent="0.25">
      <c r="A24" t="s">
        <v>23</v>
      </c>
    </row>
    <row r="25" spans="1:1" x14ac:dyDescent="0.25">
      <c r="A25" t="s">
        <v>24</v>
      </c>
    </row>
    <row r="26" spans="1:1" x14ac:dyDescent="0.25">
      <c r="A26" t="s">
        <v>25</v>
      </c>
    </row>
    <row r="27" spans="1:1" x14ac:dyDescent="0.25">
      <c r="A27" t="s">
        <v>26</v>
      </c>
    </row>
    <row r="28" spans="1:1" x14ac:dyDescent="0.25">
      <c r="A28" t="s">
        <v>27</v>
      </c>
    </row>
    <row r="29" spans="1:1" x14ac:dyDescent="0.25">
      <c r="A29" t="s">
        <v>28</v>
      </c>
    </row>
    <row r="30" spans="1:1" x14ac:dyDescent="0.25">
      <c r="A30" t="s">
        <v>29</v>
      </c>
    </row>
    <row r="31" spans="1:1" x14ac:dyDescent="0.25">
      <c r="A31" t="s">
        <v>30</v>
      </c>
    </row>
    <row r="32" spans="1:1" x14ac:dyDescent="0.25">
      <c r="A32" t="s">
        <v>31</v>
      </c>
    </row>
    <row r="33" spans="1:1" x14ac:dyDescent="0.25">
      <c r="A33" t="s">
        <v>32</v>
      </c>
    </row>
    <row r="34" spans="1:1" x14ac:dyDescent="0.25">
      <c r="A34" t="s">
        <v>33</v>
      </c>
    </row>
    <row r="35" spans="1:1" x14ac:dyDescent="0.25">
      <c r="A35" t="s">
        <v>34</v>
      </c>
    </row>
    <row r="36" spans="1:1" x14ac:dyDescent="0.25">
      <c r="A36" t="s">
        <v>35</v>
      </c>
    </row>
    <row r="37" spans="1:1" x14ac:dyDescent="0.25">
      <c r="A37" t="s">
        <v>36</v>
      </c>
    </row>
    <row r="38" spans="1:1" x14ac:dyDescent="0.25">
      <c r="A38" t="s">
        <v>37</v>
      </c>
    </row>
    <row r="39" spans="1:1" x14ac:dyDescent="0.25">
      <c r="A39" t="s">
        <v>38</v>
      </c>
    </row>
    <row r="40" spans="1:1" x14ac:dyDescent="0.25">
      <c r="A40" t="s">
        <v>39</v>
      </c>
    </row>
    <row r="41" spans="1:1" x14ac:dyDescent="0.25">
      <c r="A41" t="s">
        <v>40</v>
      </c>
    </row>
    <row r="42" spans="1:1" x14ac:dyDescent="0.25">
      <c r="A42" t="s">
        <v>41</v>
      </c>
    </row>
    <row r="43" spans="1:1" x14ac:dyDescent="0.25">
      <c r="A43" t="s">
        <v>42</v>
      </c>
    </row>
    <row r="44" spans="1:1" x14ac:dyDescent="0.25">
      <c r="A44" t="s">
        <v>43</v>
      </c>
    </row>
    <row r="45" spans="1:1" x14ac:dyDescent="0.25">
      <c r="A45" t="s">
        <v>44</v>
      </c>
    </row>
    <row r="46" spans="1:1" x14ac:dyDescent="0.25">
      <c r="A46" t="s">
        <v>45</v>
      </c>
    </row>
    <row r="47" spans="1:1" x14ac:dyDescent="0.25">
      <c r="A47" t="s">
        <v>46</v>
      </c>
    </row>
    <row r="48" spans="1:1" x14ac:dyDescent="0.25">
      <c r="A48" t="s">
        <v>47</v>
      </c>
    </row>
    <row r="49" spans="1:1" x14ac:dyDescent="0.25">
      <c r="A49" t="s">
        <v>48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46872-F273-4C81-AADB-3FF6BD0CC27A}">
  <dimension ref="A1:T50"/>
  <sheetViews>
    <sheetView topLeftCell="B1" workbookViewId="0">
      <selection activeCell="B19" sqref="B19"/>
    </sheetView>
  </sheetViews>
  <sheetFormatPr defaultRowHeight="15" x14ac:dyDescent="0.25"/>
  <cols>
    <col min="1" max="1" width="21.7109375" bestFit="1" customWidth="1"/>
    <col min="2" max="2" width="19.85546875" customWidth="1"/>
    <col min="4" max="4" width="21.42578125" customWidth="1"/>
    <col min="5" max="6" width="18.7109375" customWidth="1"/>
    <col min="7" max="7" width="9.140625" customWidth="1"/>
    <col min="8" max="8" width="21.85546875" customWidth="1"/>
    <col min="9" max="9" width="12.5703125" customWidth="1"/>
    <col min="10" max="11" width="9.140625" customWidth="1"/>
    <col min="12" max="12" width="14" customWidth="1"/>
    <col min="13" max="13" width="12.28515625" customWidth="1"/>
    <col min="15" max="15" width="17.28515625" customWidth="1"/>
    <col min="16" max="16" width="14.140625" customWidth="1"/>
    <col min="17" max="17" width="10.7109375" bestFit="1" customWidth="1"/>
    <col min="18" max="18" width="25" bestFit="1" customWidth="1"/>
    <col min="19" max="19" width="14.85546875" customWidth="1"/>
    <col min="20" max="20" width="25" bestFit="1" customWidth="1"/>
  </cols>
  <sheetData>
    <row r="1" spans="1:20" x14ac:dyDescent="0.25">
      <c r="A1" s="6" t="s">
        <v>64</v>
      </c>
      <c r="B1" s="6"/>
      <c r="D1" s="5" t="s">
        <v>68</v>
      </c>
      <c r="E1" s="5"/>
      <c r="F1" s="5"/>
      <c r="H1" s="5" t="s">
        <v>69</v>
      </c>
      <c r="I1" s="5"/>
      <c r="K1" s="21" t="s">
        <v>71</v>
      </c>
      <c r="L1" s="21"/>
      <c r="M1" s="21"/>
      <c r="O1" s="21" t="s">
        <v>73</v>
      </c>
      <c r="P1" s="21"/>
      <c r="Q1" s="21"/>
      <c r="R1" s="21"/>
      <c r="S1" s="21"/>
      <c r="T1" s="21"/>
    </row>
    <row r="2" spans="1:20" x14ac:dyDescent="0.25">
      <c r="A2" s="7" t="s">
        <v>49</v>
      </c>
      <c r="B2" s="7" t="s">
        <v>65</v>
      </c>
      <c r="D2" s="11" t="s">
        <v>49</v>
      </c>
      <c r="E2" s="12" t="s">
        <v>63</v>
      </c>
      <c r="F2" s="12" t="s">
        <v>65</v>
      </c>
      <c r="H2" s="13" t="s">
        <v>49</v>
      </c>
      <c r="I2" s="13" t="s">
        <v>62</v>
      </c>
      <c r="K2" s="13" t="s">
        <v>50</v>
      </c>
      <c r="L2" s="13" t="s">
        <v>72</v>
      </c>
      <c r="M2" s="13" t="s">
        <v>62</v>
      </c>
      <c r="O2" s="13" t="s">
        <v>0</v>
      </c>
      <c r="P2" s="13" t="s">
        <v>62</v>
      </c>
      <c r="Q2" s="13" t="s">
        <v>74</v>
      </c>
      <c r="R2" s="13" t="s">
        <v>75</v>
      </c>
      <c r="S2" s="13" t="s">
        <v>76</v>
      </c>
      <c r="T2" s="13" t="str">
        <f>B18</f>
        <v>Employees per 1000 Capita</v>
      </c>
    </row>
    <row r="3" spans="1:20" x14ac:dyDescent="0.25">
      <c r="A3" t="s">
        <v>57</v>
      </c>
      <c r="B3" t="str">
        <f>Dashboard!$B$6</f>
        <v>Finance</v>
      </c>
      <c r="D3" s="10" t="s">
        <v>53</v>
      </c>
      <c r="E3" s="9">
        <f>AVERAGEIFS(Data!F:F,Data!B:B,D3,Data!A:A,$B$15)</f>
        <v>93586.333333333328</v>
      </c>
      <c r="F3" s="9">
        <f>IF(D3=$B$3,E3,0)</f>
        <v>0</v>
      </c>
      <c r="H3" t="s">
        <v>54</v>
      </c>
      <c r="I3" s="1">
        <f>SUMIFS(Data!E:E,Data!B:B,H3,Data!A:A,$B$15)</f>
        <v>26277342</v>
      </c>
      <c r="K3" s="10">
        <v>2017</v>
      </c>
      <c r="L3" s="2">
        <f>AVERAGEIFS(Data!F:F,Data!B:B,$B$3,Data!A:A,$K3)</f>
        <v>77330.083333333328</v>
      </c>
      <c r="M3" s="1">
        <f>SUMIFS(Data!E:E,Data!B:B,$B$3,Data!A:A,$K3)</f>
        <v>8021586</v>
      </c>
      <c r="O3" t="e" vm="1">
        <v>#VALUE!</v>
      </c>
      <c r="P3" s="1">
        <f>SUMIFS(Data!E:E,Data!B:B,$B$3,Data!A:A,$B$15,Data!C:C,'State Helper Column'!A2)</f>
        <v>94715</v>
      </c>
      <c r="Q3" cm="1" vm="2">
        <f t="array" aca="1" ref="Q3" ca="1">_FV(O3,"Population")</f>
        <v>5157699</v>
      </c>
      <c r="R3" s="14">
        <f ca="1">P3/Q3*1000</f>
        <v>18.363809132715964</v>
      </c>
      <c r="S3" s="2">
        <f>AVERAGEIFS(Data!F:F,Data!B:B,$B$3,Data!A:A,$B$15,Data!C:C,'State Helper Column'!A2)</f>
        <v>75982</v>
      </c>
      <c r="T3" s="15">
        <f ca="1">IF($T$2=$S$2,-S3,R3)</f>
        <v>18.363809132715964</v>
      </c>
    </row>
    <row r="4" spans="1:20" x14ac:dyDescent="0.25">
      <c r="A4" t="s">
        <v>51</v>
      </c>
      <c r="D4" s="10" t="s">
        <v>56</v>
      </c>
      <c r="E4" s="9">
        <f>AVERAGEIFS(Data!F:F,Data!B:B,D4,Data!A:A,$B$15)</f>
        <v>90040.666666666672</v>
      </c>
      <c r="F4" s="9">
        <f t="shared" ref="F4:F12" si="0">IF(D4=$B$3,E4,0)</f>
        <v>90040.666666666672</v>
      </c>
      <c r="H4" t="s">
        <v>58</v>
      </c>
      <c r="I4" s="1">
        <f>SUMIFS(Data!E:E,Data!B:B,H4,Data!A:A,$B$15)</f>
        <v>22035033</v>
      </c>
      <c r="K4" s="10">
        <v>2018</v>
      </c>
      <c r="L4" s="2">
        <f>AVERAGEIFS(Data!F:F,Data!B:B,$B$3,Data!A:A,$K4)</f>
        <v>80167.854166666672</v>
      </c>
      <c r="M4" s="1">
        <f>SUMIFS(Data!E:E,Data!B:B,$B$3,Data!A:A,$K4)</f>
        <v>8120224</v>
      </c>
      <c r="O4" t="e" vm="3">
        <v>#VALUE!</v>
      </c>
      <c r="P4" s="1">
        <f>SUMIFS(Data!E:E,Data!B:B,$B$3,Data!A:A,$B$15,Data!C:C,'State Helper Column'!A3)</f>
        <v>225922</v>
      </c>
      <c r="Q4" cm="1" vm="4">
        <f t="array" aca="1" ref="Q4" ca="1">_FV(O4,"Population")</f>
        <v>7582384</v>
      </c>
      <c r="R4" s="14">
        <f t="shared" ref="R4:R50" ca="1" si="1">P4/Q4*1000</f>
        <v>29.79564210939462</v>
      </c>
      <c r="S4" s="2">
        <f>AVERAGEIFS(Data!F:F,Data!B:B,$B$3,Data!A:A,$B$15,Data!C:C,'State Helper Column'!A3)</f>
        <v>82956</v>
      </c>
      <c r="T4" s="15">
        <f t="shared" ref="T4:T50" ca="1" si="2">IF($T$2=$S$2,-S4,R4)</f>
        <v>29.79564210939462</v>
      </c>
    </row>
    <row r="5" spans="1:20" x14ac:dyDescent="0.25">
      <c r="A5" t="s">
        <v>58</v>
      </c>
      <c r="D5" s="10" t="s">
        <v>57</v>
      </c>
      <c r="E5" s="9">
        <f>AVERAGEIFS(Data!F:F,Data!B:B,D5,Data!A:A,$B$15)</f>
        <v>74713.0625</v>
      </c>
      <c r="F5" s="9">
        <f t="shared" si="0"/>
        <v>0</v>
      </c>
      <c r="H5" t="s">
        <v>57</v>
      </c>
      <c r="I5" s="1">
        <f>SUMIFS(Data!E:E,Data!B:B,H5,Data!A:A,$B$15)</f>
        <v>20065896</v>
      </c>
      <c r="K5" s="10">
        <v>2019</v>
      </c>
      <c r="L5" s="2">
        <f>AVERAGEIFS(Data!F:F,Data!B:B,$B$3,Data!A:A,$K5)</f>
        <v>82837.375</v>
      </c>
      <c r="M5" s="1">
        <f>SUMIFS(Data!E:E,Data!B:B,$B$3,Data!A:A,$K5)</f>
        <v>8251469</v>
      </c>
      <c r="O5" t="e" vm="5">
        <v>#VALUE!</v>
      </c>
      <c r="P5" s="1">
        <f>SUMIFS(Data!E:E,Data!B:B,$B$3,Data!A:A,$B$15,Data!C:C,'State Helper Column'!A4)</f>
        <v>51950</v>
      </c>
      <c r="Q5" cm="1" vm="6">
        <f t="array" aca="1" ref="Q5" ca="1">_FV(O5,"Population")</f>
        <v>3088354</v>
      </c>
      <c r="R5" s="14">
        <f t="shared" ca="1" si="1"/>
        <v>16.821258184780632</v>
      </c>
      <c r="S5" s="2">
        <f>AVERAGEIFS(Data!F:F,Data!B:B,$B$3,Data!A:A,$B$15,Data!C:C,'State Helper Column'!A4)</f>
        <v>65321</v>
      </c>
      <c r="T5" s="15">
        <f t="shared" ca="1" si="2"/>
        <v>16.821258184780632</v>
      </c>
    </row>
    <row r="6" spans="1:20" x14ac:dyDescent="0.25">
      <c r="A6" t="s">
        <v>56</v>
      </c>
      <c r="D6" s="10" t="s">
        <v>52</v>
      </c>
      <c r="E6" s="9">
        <f>AVERAGEIFS(Data!F:F,Data!B:B,D6,Data!A:A,$B$15)</f>
        <v>68427.875</v>
      </c>
      <c r="F6" s="9">
        <f t="shared" si="0"/>
        <v>0</v>
      </c>
      <c r="H6" t="s">
        <v>59</v>
      </c>
      <c r="I6" s="1">
        <f>SUMIFS(Data!E:E,Data!B:B,H6,Data!A:A,$B$15)</f>
        <v>12649500</v>
      </c>
      <c r="K6" s="10">
        <v>2020</v>
      </c>
      <c r="L6" s="2">
        <f>AVERAGEIFS(Data!F:F,Data!B:B,$B$3,Data!A:A,$K6)</f>
        <v>90040.666666666672</v>
      </c>
      <c r="M6" s="1">
        <f>SUMIFS(Data!E:E,Data!B:B,$B$3,Data!A:A,$K6)</f>
        <v>8142043</v>
      </c>
      <c r="O6" t="e" vm="7">
        <v>#VALUE!</v>
      </c>
      <c r="P6" s="1">
        <f>SUMIFS(Data!E:E,Data!B:B,$B$3,Data!A:A,$B$15,Data!C:C,'State Helper Column'!A5)</f>
        <v>817007</v>
      </c>
      <c r="Q6" cm="1" vm="8">
        <f t="array" aca="1" ref="Q6" ca="1">_FV(O6,"Population")</f>
        <v>39431263</v>
      </c>
      <c r="R6" s="14">
        <f t="shared" ca="1" si="1"/>
        <v>20.719777603877411</v>
      </c>
      <c r="S6" s="2">
        <f>AVERAGEIFS(Data!F:F,Data!B:B,$B$3,Data!A:A,$B$15,Data!C:C,'State Helper Column'!A5)</f>
        <v>124107</v>
      </c>
      <c r="T6" s="15">
        <f t="shared" ca="1" si="2"/>
        <v>20.719777603877411</v>
      </c>
    </row>
    <row r="7" spans="1:20" x14ac:dyDescent="0.25">
      <c r="A7" t="s">
        <v>53</v>
      </c>
      <c r="D7" s="10" t="s">
        <v>51</v>
      </c>
      <c r="E7" s="9">
        <f>AVERAGEIFS(Data!F:F,Data!B:B,D7,Data!A:A,$B$15)</f>
        <v>63896.895833333336</v>
      </c>
      <c r="F7" s="9">
        <f t="shared" si="0"/>
        <v>0</v>
      </c>
      <c r="H7" t="s">
        <v>52</v>
      </c>
      <c r="I7" s="1">
        <f>SUMIFS(Data!E:E,Data!B:B,H7,Data!A:A,$B$15)</f>
        <v>12058694</v>
      </c>
      <c r="O7" t="e" vm="9">
        <v>#VALUE!</v>
      </c>
      <c r="P7" s="1">
        <f>SUMIFS(Data!E:E,Data!B:B,$B$3,Data!A:A,$B$15,Data!C:C,'State Helper Column'!A6)</f>
        <v>165271</v>
      </c>
      <c r="Q7" cm="1" vm="10">
        <f t="array" aca="1" ref="Q7" ca="1">_FV(O7,"Population")</f>
        <v>5957493</v>
      </c>
      <c r="R7" s="14">
        <f t="shared" ca="1" si="1"/>
        <v>27.741702759868961</v>
      </c>
      <c r="S7" s="2">
        <f>AVERAGEIFS(Data!F:F,Data!B:B,$B$3,Data!A:A,$B$15,Data!C:C,'State Helper Column'!A6)</f>
        <v>97276</v>
      </c>
      <c r="T7" s="15">
        <f t="shared" ca="1" si="2"/>
        <v>27.741702759868961</v>
      </c>
    </row>
    <row r="8" spans="1:20" x14ac:dyDescent="0.25">
      <c r="A8" t="s">
        <v>59</v>
      </c>
      <c r="D8" s="10" t="s">
        <v>55</v>
      </c>
      <c r="E8" s="9">
        <f>AVERAGEIFS(Data!F:F,Data!B:B,D8,Data!A:A,$B$15)</f>
        <v>55605.9375</v>
      </c>
      <c r="F8" s="9">
        <f t="shared" si="0"/>
        <v>0</v>
      </c>
      <c r="H8" t="s">
        <v>56</v>
      </c>
      <c r="I8" s="1">
        <f>SUMIFS(Data!E:E,Data!B:B,H8,Data!A:A,$B$15)</f>
        <v>8142043</v>
      </c>
      <c r="O8" t="e" vm="11">
        <v>#VALUE!</v>
      </c>
      <c r="P8" s="1">
        <f>SUMIFS(Data!E:E,Data!B:B,$B$3,Data!A:A,$B$15,Data!C:C,'State Helper Column'!A7)</f>
        <v>118168</v>
      </c>
      <c r="Q8" cm="1" vm="12">
        <f t="array" aca="1" ref="Q8" ca="1">_FV(O8,"Population")</f>
        <v>3675069</v>
      </c>
      <c r="R8" s="14">
        <f t="shared" ca="1" si="1"/>
        <v>32.153954116235639</v>
      </c>
      <c r="S8" s="2">
        <f>AVERAGEIFS(Data!F:F,Data!B:B,$B$3,Data!A:A,$B$15,Data!C:C,'State Helper Column'!A7)</f>
        <v>165086</v>
      </c>
      <c r="T8" s="15">
        <f t="shared" ca="1" si="2"/>
        <v>32.153954116235639</v>
      </c>
    </row>
    <row r="9" spans="1:20" x14ac:dyDescent="0.25">
      <c r="A9" t="s">
        <v>52</v>
      </c>
      <c r="D9" s="10" t="s">
        <v>58</v>
      </c>
      <c r="E9" s="9">
        <f>AVERAGEIFS(Data!F:F,Data!B:B,D9,Data!A:A,$B$15)</f>
        <v>53607.208333333336</v>
      </c>
      <c r="F9" s="9">
        <f t="shared" si="0"/>
        <v>0</v>
      </c>
      <c r="H9" t="s">
        <v>51</v>
      </c>
      <c r="I9" s="1">
        <f>SUMIFS(Data!E:E,Data!B:B,H9,Data!A:A,$B$15)</f>
        <v>7136444</v>
      </c>
      <c r="O9" t="e" vm="13">
        <v>#VALUE!</v>
      </c>
      <c r="P9" s="1">
        <f>SUMIFS(Data!E:E,Data!B:B,$B$3,Data!A:A,$B$15,Data!C:C,'State Helper Column'!A8)</f>
        <v>47390</v>
      </c>
      <c r="Q9" cm="1" vm="14">
        <f t="array" aca="1" ref="Q9" ca="1">_FV(O9,"Population")</f>
        <v>1051917</v>
      </c>
      <c r="R9" s="14">
        <f t="shared" ca="1" si="1"/>
        <v>45.051082927645432</v>
      </c>
      <c r="S9" s="2">
        <f>AVERAGEIFS(Data!F:F,Data!B:B,$B$3,Data!A:A,$B$15,Data!C:C,'State Helper Column'!A8)</f>
        <v>103154</v>
      </c>
      <c r="T9" s="15">
        <f t="shared" ca="1" si="2"/>
        <v>45.051082927645432</v>
      </c>
    </row>
    <row r="10" spans="1:20" x14ac:dyDescent="0.25">
      <c r="A10" t="s">
        <v>55</v>
      </c>
      <c r="D10" s="10" t="s">
        <v>54</v>
      </c>
      <c r="E10" s="9">
        <f>AVERAGEIFS(Data!F:F,Data!B:B,D10,Data!A:A,$B$15)</f>
        <v>49366.8125</v>
      </c>
      <c r="F10" s="9">
        <f t="shared" si="0"/>
        <v>0</v>
      </c>
      <c r="H10" t="s">
        <v>60</v>
      </c>
      <c r="I10" s="1">
        <f>SUMIFS(Data!E:E,Data!B:B,H10,Data!A:A,$B$15)</f>
        <v>3843699</v>
      </c>
      <c r="O10" t="e" vm="15">
        <v>#VALUE!</v>
      </c>
      <c r="P10" s="1">
        <f>SUMIFS(Data!E:E,Data!B:B,$B$3,Data!A:A,$B$15,Data!C:C,'State Helper Column'!A9)</f>
        <v>586706</v>
      </c>
      <c r="Q10" cm="1" vm="16">
        <f t="array" aca="1" ref="Q10" ca="1">_FV(O10,"Population")</f>
        <v>23372215</v>
      </c>
      <c r="R10" s="14">
        <f t="shared" ca="1" si="1"/>
        <v>25.102712772409461</v>
      </c>
      <c r="S10" s="2">
        <f>AVERAGEIFS(Data!F:F,Data!B:B,$B$3,Data!A:A,$B$15,Data!C:C,'State Helper Column'!A9)</f>
        <v>84307</v>
      </c>
      <c r="T10" s="15">
        <f t="shared" ca="1" si="2"/>
        <v>25.102712772409461</v>
      </c>
    </row>
    <row r="11" spans="1:20" x14ac:dyDescent="0.25">
      <c r="A11" t="s">
        <v>60</v>
      </c>
      <c r="D11" s="10" t="s">
        <v>60</v>
      </c>
      <c r="E11" s="9">
        <f>AVERAGEIFS(Data!F:F,Data!B:B,D11,Data!A:A,$B$15)</f>
        <v>40790.1875</v>
      </c>
      <c r="F11" s="9">
        <f t="shared" si="0"/>
        <v>0</v>
      </c>
      <c r="H11" t="s">
        <v>53</v>
      </c>
      <c r="I11" s="1">
        <f>SUMIFS(Data!E:E,Data!B:B,H11,Data!A:A,$B$15)</f>
        <v>2677815</v>
      </c>
      <c r="O11" t="e" vm="17">
        <v>#VALUE!</v>
      </c>
      <c r="P11" s="1">
        <f>SUMIFS(Data!E:E,Data!B:B,$B$3,Data!A:A,$B$15,Data!C:C,'State Helper Column'!A10)</f>
        <v>242175</v>
      </c>
      <c r="Q11" cm="1" vm="18">
        <f t="array" aca="1" ref="Q11" ca="1">_FV(O11,"Population")</f>
        <v>11180878</v>
      </c>
      <c r="R11" s="14">
        <f t="shared" ca="1" si="1"/>
        <v>21.659748009056177</v>
      </c>
      <c r="S11" s="2">
        <f>AVERAGEIFS(Data!F:F,Data!B:B,$B$3,Data!A:A,$B$15,Data!C:C,'State Helper Column'!A10)</f>
        <v>93145</v>
      </c>
      <c r="T11" s="15">
        <f t="shared" ca="1" si="2"/>
        <v>21.659748009056177</v>
      </c>
    </row>
    <row r="12" spans="1:20" x14ac:dyDescent="0.25">
      <c r="A12" t="s">
        <v>54</v>
      </c>
      <c r="D12" s="10" t="s">
        <v>59</v>
      </c>
      <c r="E12" s="9">
        <f>AVERAGEIFS(Data!F:F,Data!B:B,D12,Data!A:A,$B$15)</f>
        <v>23286.416666666668</v>
      </c>
      <c r="F12" s="9">
        <f t="shared" si="0"/>
        <v>0</v>
      </c>
      <c r="H12" t="s">
        <v>55</v>
      </c>
      <c r="I12" s="1">
        <f>SUMIFS(Data!E:E,Data!B:B,H12,Data!A:A,$B$15)</f>
        <v>1762873</v>
      </c>
      <c r="O12" t="e" vm="19">
        <v>#VALUE!</v>
      </c>
      <c r="P12" s="1">
        <f>SUMIFS(Data!E:E,Data!B:B,$B$3,Data!A:A,$B$15,Data!C:C,'State Helper Column'!A11)</f>
        <v>34249</v>
      </c>
      <c r="Q12" cm="1" vm="20">
        <f t="array" aca="1" ref="Q12" ca="1">_FV(O12,"Population")</f>
        <v>2001619</v>
      </c>
      <c r="R12" s="14">
        <f t="shared" ca="1" si="1"/>
        <v>17.110648929691415</v>
      </c>
      <c r="S12" s="2">
        <f>AVERAGEIFS(Data!F:F,Data!B:B,$B$3,Data!A:A,$B$15,Data!C:C,'State Helper Column'!A11)</f>
        <v>68833</v>
      </c>
      <c r="T12" s="15">
        <f t="shared" ca="1" si="2"/>
        <v>17.110648929691415</v>
      </c>
    </row>
    <row r="13" spans="1:20" x14ac:dyDescent="0.25">
      <c r="O13" t="e" vm="21">
        <v>#VALUE!</v>
      </c>
      <c r="P13" s="1">
        <f>SUMIFS(Data!E:E,Data!B:B,$B$3,Data!A:A,$B$15,Data!C:C,'State Helper Column'!A12)</f>
        <v>376539</v>
      </c>
      <c r="Q13" cm="1" vm="22">
        <f t="array" aca="1" ref="Q13" ca="1">_FV(O13,"Population")</f>
        <v>12710158</v>
      </c>
      <c r="R13" s="14">
        <f t="shared" ca="1" si="1"/>
        <v>29.62504478701209</v>
      </c>
      <c r="S13" s="2">
        <f>AVERAGEIFS(Data!F:F,Data!B:B,$B$3,Data!A:A,$B$15,Data!C:C,'State Helper Column'!A12)</f>
        <v>121634</v>
      </c>
      <c r="T13" s="15">
        <f t="shared" ca="1" si="2"/>
        <v>29.62504478701209</v>
      </c>
    </row>
    <row r="14" spans="1:20" x14ac:dyDescent="0.25">
      <c r="A14" s="6" t="s">
        <v>66</v>
      </c>
      <c r="B14" s="6"/>
      <c r="O14" t="e" vm="23">
        <v>#VALUE!</v>
      </c>
      <c r="P14" s="1">
        <f>SUMIFS(Data!E:E,Data!B:B,$B$3,Data!A:A,$B$15,Data!C:C,'State Helper Column'!A13)</f>
        <v>133449</v>
      </c>
      <c r="Q14" cm="1" vm="24">
        <f t="array" aca="1" ref="Q14" ca="1">_FV(O14,"Population")</f>
        <v>6924275</v>
      </c>
      <c r="R14" s="14">
        <f t="shared" ca="1" si="1"/>
        <v>19.272631430727404</v>
      </c>
      <c r="S14" s="2">
        <f>AVERAGEIFS(Data!F:F,Data!B:B,$B$3,Data!A:A,$B$15,Data!C:C,'State Helper Column'!A13)</f>
        <v>72283</v>
      </c>
      <c r="T14" s="15">
        <f t="shared" ca="1" si="2"/>
        <v>19.272631430727404</v>
      </c>
    </row>
    <row r="15" spans="1:20" x14ac:dyDescent="0.25">
      <c r="A15" s="4" t="s">
        <v>67</v>
      </c>
      <c r="B15" s="8">
        <v>2020</v>
      </c>
      <c r="H15" s="5" t="s">
        <v>69</v>
      </c>
      <c r="I15" s="5"/>
      <c r="O15" t="e" vm="25">
        <v>#VALUE!</v>
      </c>
      <c r="P15" s="1">
        <f>SUMIFS(Data!E:E,Data!B:B,$B$3,Data!A:A,$B$15,Data!C:C,'State Helper Column'!A14)</f>
        <v>109283</v>
      </c>
      <c r="Q15" cm="1" vm="26">
        <f t="array" aca="1" ref="Q15" ca="1">_FV(O15,"Population")</f>
        <v>3241488</v>
      </c>
      <c r="R15" s="14">
        <f t="shared" ca="1" si="1"/>
        <v>33.713837595573395</v>
      </c>
      <c r="S15" s="2">
        <f>AVERAGEIFS(Data!F:F,Data!B:B,$B$3,Data!A:A,$B$15,Data!C:C,'State Helper Column'!A14)</f>
        <v>81131</v>
      </c>
      <c r="T15" s="15">
        <f t="shared" ca="1" si="2"/>
        <v>33.713837595573395</v>
      </c>
    </row>
    <row r="16" spans="1:20" x14ac:dyDescent="0.25">
      <c r="H16" s="13" t="s">
        <v>49</v>
      </c>
      <c r="I16" s="13" t="s">
        <v>62</v>
      </c>
      <c r="O16" t="e" vm="27">
        <v>#VALUE!</v>
      </c>
      <c r="P16" s="1">
        <f>SUMIFS(Data!E:E,Data!B:B,$B$3,Data!A:A,$B$15,Data!C:C,'State Helper Column'!A15)</f>
        <v>73310</v>
      </c>
      <c r="Q16" cm="1" vm="28">
        <f t="array" aca="1" ref="Q16" ca="1">_FV(O16,"Population")</f>
        <v>2970606</v>
      </c>
      <c r="R16" s="14">
        <f t="shared" ca="1" si="1"/>
        <v>24.678466279270964</v>
      </c>
      <c r="S16" s="2">
        <f>AVERAGEIFS(Data!F:F,Data!B:B,$B$3,Data!A:A,$B$15,Data!C:C,'State Helper Column'!A15)</f>
        <v>75889</v>
      </c>
      <c r="T16" s="15">
        <f t="shared" ca="1" si="2"/>
        <v>24.678466279270964</v>
      </c>
    </row>
    <row r="17" spans="1:20" x14ac:dyDescent="0.25">
      <c r="A17" s="6" t="s">
        <v>77</v>
      </c>
      <c r="B17" s="6"/>
      <c r="H17" t="str">
        <f>B3</f>
        <v>Finance</v>
      </c>
      <c r="I17" s="1">
        <f>VLOOKUP(B3,H3:I12,2,0)</f>
        <v>8142043</v>
      </c>
      <c r="O17" t="e" vm="29">
        <v>#VALUE!</v>
      </c>
      <c r="P17" s="1">
        <f>SUMIFS(Data!E:E,Data!B:B,$B$3,Data!A:A,$B$15,Data!C:C,'State Helper Column'!A16)</f>
        <v>92079</v>
      </c>
      <c r="Q17" cm="1" vm="30">
        <f t="array" aca="1" ref="Q17" ca="1">_FV(O17,"Population")</f>
        <v>4588372</v>
      </c>
      <c r="R17" s="14">
        <f t="shared" ca="1" si="1"/>
        <v>20.06790207943035</v>
      </c>
      <c r="S17" s="2">
        <f>AVERAGEIFS(Data!F:F,Data!B:B,$B$3,Data!A:A,$B$15,Data!C:C,'State Helper Column'!A16)</f>
        <v>75177</v>
      </c>
      <c r="T17" s="15">
        <f t="shared" ca="1" si="2"/>
        <v>20.06790207943035</v>
      </c>
    </row>
    <row r="18" spans="1:20" x14ac:dyDescent="0.25">
      <c r="A18" s="4" t="s">
        <v>78</v>
      </c>
      <c r="B18" t="str">
        <f>IF(Dashboard!$B$1=1,'Data Prep'!S2,'Data Prep'!R2)</f>
        <v>Employees per 1000 Capita</v>
      </c>
      <c r="H18" t="s">
        <v>70</v>
      </c>
      <c r="I18" s="1">
        <f>SUM(I3:I12)-I17</f>
        <v>108507296</v>
      </c>
      <c r="O18" t="e" vm="31">
        <v>#VALUE!</v>
      </c>
      <c r="P18" s="1">
        <f>SUMIFS(Data!E:E,Data!B:B,$B$3,Data!A:A,$B$15,Data!C:C,'State Helper Column'!A17)</f>
        <v>81149</v>
      </c>
      <c r="Q18" cm="1" vm="32">
        <f t="array" aca="1" ref="Q18" ca="1">_FV(O18,"Population")</f>
        <v>4597740</v>
      </c>
      <c r="R18" s="14">
        <f t="shared" ca="1" si="1"/>
        <v>17.649758359541863</v>
      </c>
      <c r="S18" s="2">
        <f>AVERAGEIFS(Data!F:F,Data!B:B,$B$3,Data!A:A,$B$15,Data!C:C,'State Helper Column'!A17)</f>
        <v>69409</v>
      </c>
      <c r="T18" s="15">
        <f t="shared" ca="1" si="2"/>
        <v>17.649758359541863</v>
      </c>
    </row>
    <row r="19" spans="1:20" x14ac:dyDescent="0.25">
      <c r="I19" s="1">
        <f>SUM(I17:I18)</f>
        <v>116649339</v>
      </c>
      <c r="O19" t="e" vm="33">
        <v>#VALUE!</v>
      </c>
      <c r="P19" s="1">
        <f>SUMIFS(Data!E:E,Data!B:B,$B$3,Data!A:A,$B$15,Data!C:C,'State Helper Column'!A18)</f>
        <v>30107</v>
      </c>
      <c r="Q19" cm="1" vm="34">
        <f t="array" aca="1" ref="Q19" ca="1">_FV(O19,"Population")</f>
        <v>1405012</v>
      </c>
      <c r="R19" s="14">
        <f t="shared" ca="1" si="1"/>
        <v>21.42828673349409</v>
      </c>
      <c r="S19" s="2">
        <f>AVERAGEIFS(Data!F:F,Data!B:B,$B$3,Data!A:A,$B$15,Data!C:C,'State Helper Column'!A18)</f>
        <v>75870</v>
      </c>
      <c r="T19" s="15">
        <f t="shared" ca="1" si="2"/>
        <v>21.42828673349409</v>
      </c>
    </row>
    <row r="20" spans="1:20" x14ac:dyDescent="0.25">
      <c r="H20" s="4" t="s">
        <v>79</v>
      </c>
      <c r="I20" s="17">
        <f>SUM(I17/I19)</f>
        <v>6.9799306792471413E-2</v>
      </c>
      <c r="O20" t="e" vm="35">
        <v>#VALUE!</v>
      </c>
      <c r="P20" s="1">
        <f>SUMIFS(Data!E:E,Data!B:B,$B$3,Data!A:A,$B$15,Data!C:C,'State Helper Column'!A19)</f>
        <v>129771</v>
      </c>
      <c r="Q20" cm="1" vm="36">
        <f t="array" aca="1" ref="Q20" ca="1">_FV(O20,"Population")</f>
        <v>6263220</v>
      </c>
      <c r="R20" s="14">
        <f t="shared" ca="1" si="1"/>
        <v>20.719534041595217</v>
      </c>
      <c r="S20" s="2">
        <f>AVERAGEIFS(Data!F:F,Data!B:B,$B$3,Data!A:A,$B$15,Data!C:C,'State Helper Column'!A19)</f>
        <v>110159</v>
      </c>
      <c r="T20" s="15">
        <f t="shared" ca="1" si="2"/>
        <v>20.719534041595217</v>
      </c>
    </row>
    <row r="21" spans="1:20" x14ac:dyDescent="0.25">
      <c r="O21" t="e" vm="37">
        <v>#VALUE!</v>
      </c>
      <c r="P21" s="1">
        <f>SUMIFS(Data!E:E,Data!B:B,$B$3,Data!A:A,$B$15,Data!C:C,'State Helper Column'!A20)</f>
        <v>212062</v>
      </c>
      <c r="Q21" cm="1" vm="38">
        <f t="array" aca="1" ref="Q21" ca="1">_FV(O21,"Population")</f>
        <v>7136171</v>
      </c>
      <c r="R21" s="14">
        <f t="shared" ca="1" si="1"/>
        <v>29.716496423642315</v>
      </c>
      <c r="S21" s="2">
        <f>AVERAGEIFS(Data!F:F,Data!B:B,$B$3,Data!A:A,$B$15,Data!C:C,'State Helper Column'!A20)</f>
        <v>159120</v>
      </c>
      <c r="T21" s="15">
        <f t="shared" ca="1" si="2"/>
        <v>29.716496423642315</v>
      </c>
    </row>
    <row r="22" spans="1:20" x14ac:dyDescent="0.25">
      <c r="H22" t="b">
        <f>IFF3=INDEX(H3:H12,10)</f>
        <v>0</v>
      </c>
      <c r="O22" t="e" vm="39">
        <v>#VALUE!</v>
      </c>
      <c r="P22" s="1">
        <f>SUMIFS(Data!E:E,Data!B:B,$B$3,Data!A:A,$B$15,Data!C:C,'State Helper Column'!A21)</f>
        <v>207448</v>
      </c>
      <c r="Q22" cm="1" vm="40">
        <f t="array" aca="1" ref="Q22" ca="1">_FV(O22,"Population")</f>
        <v>10140459</v>
      </c>
      <c r="R22" s="14">
        <f t="shared" ca="1" si="1"/>
        <v>20.457456610198808</v>
      </c>
      <c r="S22" s="2">
        <f>AVERAGEIFS(Data!F:F,Data!B:B,$B$3,Data!A:A,$B$15,Data!C:C,'State Helper Column'!A21)</f>
        <v>81720</v>
      </c>
      <c r="T22" s="15">
        <f t="shared" ca="1" si="2"/>
        <v>20.457456610198808</v>
      </c>
    </row>
    <row r="23" spans="1:20" x14ac:dyDescent="0.25">
      <c r="O23" t="e" vm="41">
        <v>#VALUE!</v>
      </c>
      <c r="P23" s="1">
        <f>SUMIFS(Data!E:E,Data!B:B,$B$3,Data!A:A,$B$15,Data!C:C,'State Helper Column'!A22)</f>
        <v>179728</v>
      </c>
      <c r="Q23" cm="1" vm="42">
        <f t="array" aca="1" ref="Q23" ca="1">_FV(O23,"Population")</f>
        <v>5793151</v>
      </c>
      <c r="R23" s="14">
        <f t="shared" ca="1" si="1"/>
        <v>31.02422153332444</v>
      </c>
      <c r="S23" s="2">
        <f>AVERAGEIFS(Data!F:F,Data!B:B,$B$3,Data!A:A,$B$15,Data!C:C,'State Helper Column'!A22)</f>
        <v>104989</v>
      </c>
      <c r="T23" s="15">
        <f t="shared" ca="1" si="2"/>
        <v>31.02422153332444</v>
      </c>
    </row>
    <row r="24" spans="1:20" x14ac:dyDescent="0.25">
      <c r="O24" t="e" vm="43">
        <v>#VALUE!</v>
      </c>
      <c r="P24" s="1">
        <f>SUMIFS(Data!E:E,Data!B:B,$B$3,Data!A:A,$B$15,Data!C:C,'State Helper Column'!A23)</f>
        <v>41912</v>
      </c>
      <c r="Q24" cm="1" vm="44">
        <f t="array" aca="1" ref="Q24" ca="1">_FV(O24,"Population")</f>
        <v>2943045</v>
      </c>
      <c r="R24" s="14">
        <f t="shared" ca="1" si="1"/>
        <v>14.241032671943513</v>
      </c>
      <c r="S24" s="2">
        <f>AVERAGEIFS(Data!F:F,Data!B:B,$B$3,Data!A:A,$B$15,Data!C:C,'State Helper Column'!A23)</f>
        <v>59263</v>
      </c>
      <c r="T24" s="15">
        <f t="shared" ca="1" si="2"/>
        <v>14.241032671943513</v>
      </c>
    </row>
    <row r="25" spans="1:20" x14ac:dyDescent="0.25">
      <c r="O25" t="e" vm="45">
        <v>#VALUE!</v>
      </c>
      <c r="P25" s="1">
        <f>SUMIFS(Data!E:E,Data!B:B,$B$3,Data!A:A,$B$15,Data!C:C,'State Helper Column'!A24)</f>
        <v>165564</v>
      </c>
      <c r="Q25" cm="1" vm="46">
        <f t="array" aca="1" ref="Q25" ca="1">_FV(O25,"Population")</f>
        <v>6245466</v>
      </c>
      <c r="R25" s="14">
        <f t="shared" ca="1" si="1"/>
        <v>26.509471030664486</v>
      </c>
      <c r="S25" s="2">
        <f>AVERAGEIFS(Data!F:F,Data!B:B,$B$3,Data!A:A,$B$15,Data!C:C,'State Helper Column'!A24)</f>
        <v>82664</v>
      </c>
      <c r="T25" s="15">
        <f t="shared" ca="1" si="2"/>
        <v>26.509471030664486</v>
      </c>
    </row>
    <row r="26" spans="1:20" x14ac:dyDescent="0.25">
      <c r="O26" t="e" vm="47">
        <v>#VALUE!</v>
      </c>
      <c r="P26" s="1">
        <f>SUMIFS(Data!E:E,Data!B:B,$B$3,Data!A:A,$B$15,Data!C:C,'State Helper Column'!A25)</f>
        <v>21986</v>
      </c>
      <c r="Q26" cm="1" vm="48">
        <f t="array" aca="1" ref="Q26" ca="1">_FV(O26,"Population")</f>
        <v>1137233</v>
      </c>
      <c r="R26" s="14">
        <f t="shared" ca="1" si="1"/>
        <v>19.332889566166301</v>
      </c>
      <c r="S26" s="2">
        <f>AVERAGEIFS(Data!F:F,Data!B:B,$B$3,Data!A:A,$B$15,Data!C:C,'State Helper Column'!A25)</f>
        <v>67330</v>
      </c>
      <c r="T26" s="15">
        <f t="shared" ca="1" si="2"/>
        <v>19.332889566166301</v>
      </c>
    </row>
    <row r="27" spans="1:20" x14ac:dyDescent="0.25">
      <c r="O27" t="e" vm="49">
        <v>#VALUE!</v>
      </c>
      <c r="P27" s="1">
        <f>SUMIFS(Data!E:E,Data!B:B,$B$3,Data!A:A,$B$15,Data!C:C,'State Helper Column'!A26)</f>
        <v>66588</v>
      </c>
      <c r="Q27" cm="1" vm="50">
        <f t="array" aca="1" ref="Q27" ca="1">_FV(O27,"Population")</f>
        <v>2005465</v>
      </c>
      <c r="R27" s="14">
        <f t="shared" ca="1" si="1"/>
        <v>33.203272059098516</v>
      </c>
      <c r="S27" s="2">
        <f>AVERAGEIFS(Data!F:F,Data!B:B,$B$3,Data!A:A,$B$15,Data!C:C,'State Helper Column'!A26)</f>
        <v>74942</v>
      </c>
      <c r="T27" s="15">
        <f t="shared" ca="1" si="2"/>
        <v>33.203272059098516</v>
      </c>
    </row>
    <row r="28" spans="1:20" x14ac:dyDescent="0.25">
      <c r="O28" t="e" vm="51">
        <v>#VALUE!</v>
      </c>
      <c r="P28" s="1">
        <f>SUMIFS(Data!E:E,Data!B:B,$B$3,Data!A:A,$B$15,Data!C:C,'State Helper Column'!A27)</f>
        <v>62325</v>
      </c>
      <c r="Q28" cm="1" vm="52">
        <f t="array" aca="1" ref="Q28" ca="1">_FV(O28,"Population")</f>
        <v>3267467</v>
      </c>
      <c r="R28" s="14">
        <f t="shared" ca="1" si="1"/>
        <v>19.074408402594425</v>
      </c>
      <c r="S28" s="2">
        <f>AVERAGEIFS(Data!F:F,Data!B:B,$B$3,Data!A:A,$B$15,Data!C:C,'State Helper Column'!A27)</f>
        <v>79236</v>
      </c>
      <c r="T28" s="15">
        <f t="shared" ca="1" si="2"/>
        <v>19.074408402594425</v>
      </c>
    </row>
    <row r="29" spans="1:20" x14ac:dyDescent="0.25">
      <c r="O29" t="e" vm="53">
        <v>#VALUE!</v>
      </c>
      <c r="P29" s="1">
        <f>SUMIFS(Data!E:E,Data!B:B,$B$3,Data!A:A,$B$15,Data!C:C,'State Helper Column'!A28)</f>
        <v>33027</v>
      </c>
      <c r="Q29" cm="1" vm="54">
        <f t="array" aca="1" ref="Q29" ca="1">_FV(O29,"Population")</f>
        <v>1409032</v>
      </c>
      <c r="R29" s="14">
        <f t="shared" ca="1" si="1"/>
        <v>23.439496051189753</v>
      </c>
      <c r="S29" s="2">
        <f>AVERAGEIFS(Data!F:F,Data!B:B,$B$3,Data!A:A,$B$15,Data!C:C,'State Helper Column'!A28)</f>
        <v>109751</v>
      </c>
      <c r="T29" s="15">
        <f t="shared" ca="1" si="2"/>
        <v>23.439496051189753</v>
      </c>
    </row>
    <row r="30" spans="1:20" x14ac:dyDescent="0.25">
      <c r="O30" t="e" vm="55">
        <v>#VALUE!</v>
      </c>
      <c r="P30" s="1">
        <f>SUMIFS(Data!E:E,Data!B:B,$B$3,Data!A:A,$B$15,Data!C:C,'State Helper Column'!A29)</f>
        <v>235676</v>
      </c>
      <c r="Q30" cm="1" vm="56">
        <f t="array" aca="1" ref="Q30" ca="1">_FV(O30,"Population")</f>
        <v>9288994</v>
      </c>
      <c r="R30" s="14">
        <f t="shared" ca="1" si="1"/>
        <v>25.371531082913823</v>
      </c>
      <c r="S30" s="2">
        <f>AVERAGEIFS(Data!F:F,Data!B:B,$B$3,Data!A:A,$B$15,Data!C:C,'State Helper Column'!A29)</f>
        <v>127870</v>
      </c>
      <c r="T30" s="15">
        <f t="shared" ca="1" si="2"/>
        <v>25.371531082913823</v>
      </c>
    </row>
    <row r="31" spans="1:20" x14ac:dyDescent="0.25">
      <c r="O31" t="e" vm="57">
        <v>#VALUE!</v>
      </c>
      <c r="P31" s="1">
        <f>SUMIFS(Data!E:E,Data!B:B,$B$3,Data!A:A,$B$15,Data!C:C,'State Helper Column'!A30)</f>
        <v>32608</v>
      </c>
      <c r="Q31" cm="1" vm="58">
        <f t="array" aca="1" ref="Q31" ca="1">_FV(O31,"Population")</f>
        <v>2130256</v>
      </c>
      <c r="R31" s="14">
        <f t="shared" ca="1" si="1"/>
        <v>15.307080463568697</v>
      </c>
      <c r="S31" s="2">
        <f>AVERAGEIFS(Data!F:F,Data!B:B,$B$3,Data!A:A,$B$15,Data!C:C,'State Helper Column'!A30)</f>
        <v>62343</v>
      </c>
      <c r="T31" s="15">
        <f t="shared" ca="1" si="2"/>
        <v>15.307080463568697</v>
      </c>
    </row>
    <row r="32" spans="1:20" x14ac:dyDescent="0.25">
      <c r="O32" t="e" vm="59">
        <v>#VALUE!</v>
      </c>
      <c r="P32" s="1">
        <f>SUMIFS(Data!E:E,Data!B:B,$B$3,Data!A:A,$B$15,Data!C:C,'State Helper Column'!A31)</f>
        <v>700031</v>
      </c>
      <c r="Q32" cm="1" vm="60">
        <f t="array" aca="1" ref="Q32" ca="1">_FV(O32,"Population")</f>
        <v>20201249</v>
      </c>
      <c r="R32" s="14">
        <f t="shared" ca="1" si="1"/>
        <v>34.652857355503116</v>
      </c>
      <c r="S32" s="2">
        <f>AVERAGEIFS(Data!F:F,Data!B:B,$B$3,Data!A:A,$B$15,Data!C:C,'State Helper Column'!A31)</f>
        <v>207014</v>
      </c>
      <c r="T32" s="15">
        <f t="shared" ca="1" si="2"/>
        <v>34.652857355503116</v>
      </c>
    </row>
    <row r="33" spans="15:20" x14ac:dyDescent="0.25">
      <c r="O33" t="e" vm="61">
        <v>#VALUE!</v>
      </c>
      <c r="P33" s="1">
        <f>SUMIFS(Data!E:E,Data!B:B,$B$3,Data!A:A,$B$15,Data!C:C,'State Helper Column'!A32)</f>
        <v>251672</v>
      </c>
      <c r="Q33" cm="1" vm="62">
        <f t="array" aca="1" ref="Q33" ca="1">_FV(O33,"Population")</f>
        <v>11046024</v>
      </c>
      <c r="R33" s="14">
        <f t="shared" ca="1" si="1"/>
        <v>22.783944702636894</v>
      </c>
      <c r="S33" s="2">
        <f>AVERAGEIFS(Data!F:F,Data!B:B,$B$3,Data!A:A,$B$15,Data!C:C,'State Helper Column'!A32)</f>
        <v>97234</v>
      </c>
      <c r="T33" s="15">
        <f t="shared" ca="1" si="2"/>
        <v>22.783944702636894</v>
      </c>
    </row>
    <row r="34" spans="15:20" x14ac:dyDescent="0.25">
      <c r="O34" t="e" vm="63">
        <v>#VALUE!</v>
      </c>
      <c r="P34" s="1">
        <f>SUMIFS(Data!E:E,Data!B:B,$B$3,Data!A:A,$B$15,Data!C:C,'State Helper Column'!A33)</f>
        <v>22496</v>
      </c>
      <c r="Q34" cm="1" vm="64">
        <f t="array" aca="1" ref="Q34" ca="1">_FV(O34,"Population")</f>
        <v>796568</v>
      </c>
      <c r="R34" s="14">
        <f t="shared" ca="1" si="1"/>
        <v>28.241154553032509</v>
      </c>
      <c r="S34" s="2">
        <f>AVERAGEIFS(Data!F:F,Data!B:B,$B$3,Data!A:A,$B$15,Data!C:C,'State Helper Column'!A33)</f>
        <v>69243</v>
      </c>
      <c r="T34" s="15">
        <f t="shared" ca="1" si="2"/>
        <v>28.241154553032509</v>
      </c>
    </row>
    <row r="35" spans="15:20" x14ac:dyDescent="0.25">
      <c r="O35" t="e" vm="65">
        <v>#VALUE!</v>
      </c>
      <c r="P35" s="1">
        <f>SUMIFS(Data!E:E,Data!B:B,$B$3,Data!A:A,$B$15,Data!C:C,'State Helper Column'!A34)</f>
        <v>287990</v>
      </c>
      <c r="Q35" cm="1" vm="66">
        <f t="array" aca="1" ref="Q35" ca="1">_FV(O35,"Population")</f>
        <v>11883304</v>
      </c>
      <c r="R35" s="14">
        <f t="shared" ca="1" si="1"/>
        <v>24.234842431027598</v>
      </c>
      <c r="S35" s="2">
        <f>AVERAGEIFS(Data!F:F,Data!B:B,$B$3,Data!A:A,$B$15,Data!C:C,'State Helper Column'!A34)</f>
        <v>82336</v>
      </c>
      <c r="T35" s="15">
        <f t="shared" ca="1" si="2"/>
        <v>24.234842431027598</v>
      </c>
    </row>
    <row r="36" spans="15:20" x14ac:dyDescent="0.25">
      <c r="O36" t="e" vm="67">
        <v>#VALUE!</v>
      </c>
      <c r="P36" s="1">
        <f>SUMIFS(Data!E:E,Data!B:B,$B$3,Data!A:A,$B$15,Data!C:C,'State Helper Column'!A35)</f>
        <v>74614</v>
      </c>
      <c r="Q36" cm="1" vm="68">
        <f t="array" aca="1" ref="Q36" ca="1">_FV(O36,"Population")</f>
        <v>3959353</v>
      </c>
      <c r="R36" s="14">
        <f t="shared" ca="1" si="1"/>
        <v>18.844998160052917</v>
      </c>
      <c r="S36" s="2">
        <f>AVERAGEIFS(Data!F:F,Data!B:B,$B$3,Data!A:A,$B$15,Data!C:C,'State Helper Column'!A35)</f>
        <v>64030</v>
      </c>
      <c r="T36" s="15">
        <f t="shared" ca="1" si="2"/>
        <v>18.844998160052917</v>
      </c>
    </row>
    <row r="37" spans="15:20" x14ac:dyDescent="0.25">
      <c r="O37" t="e" vm="69">
        <v>#VALUE!</v>
      </c>
      <c r="P37" s="1">
        <f>SUMIFS(Data!E:E,Data!B:B,$B$3,Data!A:A,$B$15,Data!C:C,'State Helper Column'!A36)</f>
        <v>83937</v>
      </c>
      <c r="Q37" cm="1" vm="70">
        <f t="array" aca="1" ref="Q37" ca="1">_FV(O37,"Population")</f>
        <v>4272371</v>
      </c>
      <c r="R37" s="14">
        <f t="shared" ca="1" si="1"/>
        <v>19.64646796825463</v>
      </c>
      <c r="S37" s="2">
        <f>AVERAGEIFS(Data!F:F,Data!B:B,$B$3,Data!A:A,$B$15,Data!C:C,'State Helper Column'!A36)</f>
        <v>80727</v>
      </c>
      <c r="T37" s="15">
        <f t="shared" ca="1" si="2"/>
        <v>19.64646796825463</v>
      </c>
    </row>
    <row r="38" spans="15:20" x14ac:dyDescent="0.25">
      <c r="O38" t="e" vm="71">
        <v>#VALUE!</v>
      </c>
      <c r="P38" s="1">
        <f>SUMIFS(Data!E:E,Data!B:B,$B$3,Data!A:A,$B$15,Data!C:C,'State Helper Column'!A37)</f>
        <v>325571</v>
      </c>
      <c r="Q38" cm="1" vm="72">
        <f t="array" aca="1" ref="Q38" ca="1">_FV(O38,"Population")</f>
        <v>13078751</v>
      </c>
      <c r="R38" s="14">
        <f t="shared" ca="1" si="1"/>
        <v>24.893126262591895</v>
      </c>
      <c r="S38" s="2">
        <f>AVERAGEIFS(Data!F:F,Data!B:B,$B$3,Data!A:A,$B$15,Data!C:C,'State Helper Column'!A37)</f>
        <v>97231</v>
      </c>
      <c r="T38" s="15">
        <f t="shared" ca="1" si="2"/>
        <v>24.893126262591895</v>
      </c>
    </row>
    <row r="39" spans="15:20" x14ac:dyDescent="0.25">
      <c r="O39" t="e" vm="73">
        <v>#VALUE!</v>
      </c>
      <c r="P39" s="1">
        <f>SUMIFS(Data!E:E,Data!B:B,$B$3,Data!A:A,$B$15,Data!C:C,'State Helper Column'!A38)</f>
        <v>31304</v>
      </c>
      <c r="Q39" cm="1" vm="74">
        <f t="array" aca="1" ref="Q39" ca="1">_FV(O39,"Population")</f>
        <v>1112308</v>
      </c>
      <c r="R39" s="14">
        <f t="shared" ca="1" si="1"/>
        <v>28.143284054416583</v>
      </c>
      <c r="S39" s="2">
        <f>AVERAGEIFS(Data!F:F,Data!B:B,$B$3,Data!A:A,$B$15,Data!C:C,'State Helper Column'!A38)</f>
        <v>100316</v>
      </c>
      <c r="T39" s="15">
        <f t="shared" ca="1" si="2"/>
        <v>28.143284054416583</v>
      </c>
    </row>
    <row r="40" spans="15:20" x14ac:dyDescent="0.25">
      <c r="O40" t="e" vm="75">
        <v>#VALUE!</v>
      </c>
      <c r="P40" s="1">
        <f>SUMIFS(Data!E:E,Data!B:B,$B$3,Data!A:A,$B$15,Data!C:C,'State Helper Column'!A39)</f>
        <v>101637</v>
      </c>
      <c r="Q40" cm="1" vm="76">
        <f t="array" aca="1" ref="Q40" ca="1">_FV(O40,"Population")</f>
        <v>5478831</v>
      </c>
      <c r="R40" s="14">
        <f t="shared" ca="1" si="1"/>
        <v>18.550855100294203</v>
      </c>
      <c r="S40" s="2">
        <f>AVERAGEIFS(Data!F:F,Data!B:B,$B$3,Data!A:A,$B$15,Data!C:C,'State Helper Column'!A39)</f>
        <v>71361</v>
      </c>
      <c r="T40" s="15">
        <f t="shared" ca="1" si="2"/>
        <v>18.550855100294203</v>
      </c>
    </row>
    <row r="41" spans="15:20" x14ac:dyDescent="0.25">
      <c r="O41" t="e" vm="77">
        <v>#VALUE!</v>
      </c>
      <c r="P41" s="1">
        <f>SUMIFS(Data!E:E,Data!B:B,$B$3,Data!A:A,$B$15,Data!C:C,'State Helper Column'!A40)</f>
        <v>27809</v>
      </c>
      <c r="Q41" cm="1" vm="78">
        <f t="array" aca="1" ref="Q41" ca="1">_FV(O41,"Population")</f>
        <v>924669</v>
      </c>
      <c r="R41" s="14">
        <f t="shared" ca="1" si="1"/>
        <v>30.07454559415315</v>
      </c>
      <c r="S41" s="2">
        <f>AVERAGEIFS(Data!F:F,Data!B:B,$B$3,Data!A:A,$B$15,Data!C:C,'State Helper Column'!A40)</f>
        <v>69345</v>
      </c>
      <c r="T41" s="15">
        <f t="shared" ca="1" si="2"/>
        <v>30.07454559415315</v>
      </c>
    </row>
    <row r="42" spans="15:20" x14ac:dyDescent="0.25">
      <c r="O42" t="e" vm="79">
        <v>#VALUE!</v>
      </c>
      <c r="P42" s="1">
        <f>SUMIFS(Data!E:E,Data!B:B,$B$3,Data!A:A,$B$15,Data!C:C,'State Helper Column'!A41)</f>
        <v>155926</v>
      </c>
      <c r="Q42" cm="1" vm="80">
        <f t="array" aca="1" ref="Q42" ca="1">_FV(O42,"Population")</f>
        <v>7227750</v>
      </c>
      <c r="R42" s="14">
        <f t="shared" ca="1" si="1"/>
        <v>21.573242018608834</v>
      </c>
      <c r="S42" s="2">
        <f>AVERAGEIFS(Data!F:F,Data!B:B,$B$3,Data!A:A,$B$15,Data!C:C,'State Helper Column'!A41)</f>
        <v>85116</v>
      </c>
      <c r="T42" s="15">
        <f t="shared" ca="1" si="2"/>
        <v>21.573242018608834</v>
      </c>
    </row>
    <row r="43" spans="15:20" x14ac:dyDescent="0.25">
      <c r="O43" t="e" vm="81">
        <v>#VALUE!</v>
      </c>
      <c r="P43" s="1">
        <f>SUMIFS(Data!E:E,Data!B:B,$B$3,Data!A:A,$B$15,Data!C:C,'State Helper Column'!A42)</f>
        <v>778554</v>
      </c>
      <c r="Q43" cm="1" vm="82">
        <f t="array" aca="1" ref="Q43" ca="1">_FV(O43,"Population")</f>
        <v>31290831</v>
      </c>
      <c r="R43" s="14">
        <f t="shared" ca="1" si="1"/>
        <v>24.881218399089498</v>
      </c>
      <c r="S43" s="2">
        <f>AVERAGEIFS(Data!F:F,Data!B:B,$B$3,Data!A:A,$B$15,Data!C:C,'State Helper Column'!A42)</f>
        <v>92477</v>
      </c>
      <c r="T43" s="15">
        <f t="shared" ca="1" si="2"/>
        <v>24.881218399089498</v>
      </c>
    </row>
    <row r="44" spans="15:20" x14ac:dyDescent="0.25">
      <c r="O44" t="e" vm="83">
        <v>#VALUE!</v>
      </c>
      <c r="P44" s="1">
        <f>SUMIFS(Data!E:E,Data!B:B,$B$3,Data!A:A,$B$15,Data!C:C,'State Helper Column'!A43)</f>
        <v>93379</v>
      </c>
      <c r="Q44" cm="1" vm="84">
        <f t="array" aca="1" ref="Q44" ca="1">_FV(O44,"Population")</f>
        <v>3503613</v>
      </c>
      <c r="R44" s="14">
        <f t="shared" ca="1" si="1"/>
        <v>26.652201598749635</v>
      </c>
      <c r="S44" s="2">
        <f>AVERAGEIFS(Data!F:F,Data!B:B,$B$3,Data!A:A,$B$15,Data!C:C,'State Helper Column'!A43)</f>
        <v>79806</v>
      </c>
      <c r="T44" s="15">
        <f t="shared" ca="1" si="2"/>
        <v>26.652201598749635</v>
      </c>
    </row>
    <row r="45" spans="15:20" x14ac:dyDescent="0.25">
      <c r="O45" t="e" vm="85">
        <v>#VALUE!</v>
      </c>
      <c r="P45" s="1">
        <f>SUMIFS(Data!E:E,Data!B:B,$B$3,Data!A:A,$B$15,Data!C:C,'State Helper Column'!A44)</f>
        <v>11578</v>
      </c>
      <c r="Q45" cm="1" vm="86">
        <f t="array" aca="1" ref="Q45" ca="1">_FV(O45,"Population")</f>
        <v>648493</v>
      </c>
      <c r="R45" s="14">
        <f t="shared" ca="1" si="1"/>
        <v>17.853700810957097</v>
      </c>
      <c r="S45" s="2">
        <f>AVERAGEIFS(Data!F:F,Data!B:B,$B$3,Data!A:A,$B$15,Data!C:C,'State Helper Column'!A44)</f>
        <v>80135</v>
      </c>
      <c r="T45" s="15">
        <f t="shared" ca="1" si="2"/>
        <v>17.853700810957097</v>
      </c>
    </row>
    <row r="46" spans="15:20" x14ac:dyDescent="0.25">
      <c r="O46" t="e" vm="87">
        <v>#VALUE!</v>
      </c>
      <c r="P46" s="1">
        <f>SUMIFS(Data!E:E,Data!B:B,$B$3,Data!A:A,$B$15,Data!C:C,'State Helper Column'!A45)</f>
        <v>195671</v>
      </c>
      <c r="Q46" cm="1" vm="88">
        <f t="array" aca="1" ref="Q46" ca="1">_FV(O46,"Population")</f>
        <v>8811195</v>
      </c>
      <c r="R46" s="14">
        <f t="shared" ca="1" si="1"/>
        <v>22.207089957718559</v>
      </c>
      <c r="S46" s="2">
        <f>AVERAGEIFS(Data!F:F,Data!B:B,$B$3,Data!A:A,$B$15,Data!C:C,'State Helper Column'!A45)</f>
        <v>97246</v>
      </c>
      <c r="T46" s="15">
        <f t="shared" ca="1" si="2"/>
        <v>22.207089957718559</v>
      </c>
    </row>
    <row r="47" spans="15:20" x14ac:dyDescent="0.25">
      <c r="O47" t="e" vm="89">
        <v>#VALUE!</v>
      </c>
      <c r="P47" s="1">
        <f>SUMIFS(Data!E:E,Data!B:B,$B$3,Data!A:A,$B$15,Data!C:C,'State Helper Column'!A46)</f>
        <v>147772</v>
      </c>
      <c r="Q47" cm="1" vm="90">
        <f t="array" aca="1" ref="Q47" ca="1">_FV(O47,"Population")</f>
        <v>7958180</v>
      </c>
      <c r="R47" s="14">
        <f t="shared" ca="1" si="1"/>
        <v>18.568567184959374</v>
      </c>
      <c r="S47" s="2">
        <f>AVERAGEIFS(Data!F:F,Data!B:B,$B$3,Data!A:A,$B$15,Data!C:C,'State Helper Column'!A46)</f>
        <v>95674</v>
      </c>
      <c r="T47" s="15">
        <f t="shared" ca="1" si="2"/>
        <v>18.568567184959374</v>
      </c>
    </row>
    <row r="48" spans="15:20" x14ac:dyDescent="0.25">
      <c r="O48" t="e" vm="91">
        <v>#VALUE!</v>
      </c>
      <c r="P48" s="1">
        <f>SUMIFS(Data!E:E,Data!B:B,$B$3,Data!A:A,$B$15,Data!C:C,'State Helper Column'!A47)</f>
        <v>24190</v>
      </c>
      <c r="Q48" cm="1" vm="92">
        <f t="array" aca="1" ref="Q48" ca="1">_FV(O48,"Population")</f>
        <v>1769979</v>
      </c>
      <c r="R48" s="14">
        <f t="shared" ca="1" si="1"/>
        <v>13.666828815483122</v>
      </c>
      <c r="S48" s="2">
        <f>AVERAGEIFS(Data!F:F,Data!B:B,$B$3,Data!A:A,$B$15,Data!C:C,'State Helper Column'!A47)</f>
        <v>56764</v>
      </c>
      <c r="T48" s="15">
        <f t="shared" ca="1" si="2"/>
        <v>13.666828815483122</v>
      </c>
    </row>
    <row r="49" spans="15:20" x14ac:dyDescent="0.25">
      <c r="O49" t="e" vm="93">
        <v>#VALUE!</v>
      </c>
      <c r="P49" s="1">
        <f>SUMIFS(Data!E:E,Data!B:B,$B$3,Data!A:A,$B$15,Data!C:C,'State Helper Column'!A48)</f>
        <v>148829</v>
      </c>
      <c r="Q49" cm="1" vm="94">
        <f t="array" aca="1" ref="Q49" ca="1">_FV(O49,"Population")</f>
        <v>5960975</v>
      </c>
      <c r="R49" s="14">
        <f t="shared" ca="1" si="1"/>
        <v>24.967224321524583</v>
      </c>
      <c r="S49" s="2">
        <f>AVERAGEIFS(Data!F:F,Data!B:B,$B$3,Data!A:A,$B$15,Data!C:C,'State Helper Column'!A48)</f>
        <v>80470</v>
      </c>
      <c r="T49" s="15">
        <f t="shared" ca="1" si="2"/>
        <v>24.967224321524583</v>
      </c>
    </row>
    <row r="50" spans="15:20" x14ac:dyDescent="0.25">
      <c r="O50" t="e" vm="95">
        <v>#VALUE!</v>
      </c>
      <c r="P50" s="1">
        <f>SUMIFS(Data!E:E,Data!B:B,$B$3,Data!A:A,$B$15,Data!C:C,'State Helper Column'!A49)</f>
        <v>10919</v>
      </c>
      <c r="Q50" cm="1" vm="96">
        <f t="array" aca="1" ref="Q50" ca="1">_FV(O50,"Population")</f>
        <v>587618</v>
      </c>
      <c r="R50" s="14">
        <f t="shared" ca="1" si="1"/>
        <v>18.581799740647835</v>
      </c>
      <c r="S50" s="2">
        <f>AVERAGEIFS(Data!F:F,Data!B:B,$B$3,Data!A:A,$B$15,Data!C:C,'State Helper Column'!A49)</f>
        <v>64480</v>
      </c>
      <c r="T50" s="15">
        <f t="shared" ca="1" si="2"/>
        <v>18.581799740647835</v>
      </c>
    </row>
  </sheetData>
  <sortState xmlns:xlrd2="http://schemas.microsoft.com/office/spreadsheetml/2017/richdata2" ref="H2:I12">
    <sortCondition descending="1" ref="I2:I12"/>
  </sortState>
  <mergeCells count="2">
    <mergeCell ref="K1:M1"/>
    <mergeCell ref="O1:T1"/>
  </mergeCells>
  <dataValidations count="1">
    <dataValidation type="list" allowBlank="1" showInputMessage="1" showErrorMessage="1" sqref="B19" xr:uid="{932D38BD-2FDA-4979-BFAB-23C6664B1A8A}">
      <formula1>$R$2:$S$2</formula1>
    </dataValidation>
  </dataValidations>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472404-2BA5-4DB4-9915-9E552321CB05}">
  <sheetPr>
    <pageSetUpPr fitToPage="1"/>
  </sheetPr>
  <dimension ref="A1:N12"/>
  <sheetViews>
    <sheetView showGridLines="0" tabSelected="1" zoomScaleNormal="100" workbookViewId="0">
      <selection activeCell="F32" sqref="F32"/>
    </sheetView>
  </sheetViews>
  <sheetFormatPr defaultRowHeight="15" x14ac:dyDescent="0.25"/>
  <cols>
    <col min="1" max="1" width="5.5703125" customWidth="1"/>
    <col min="2" max="2" width="30.5703125" bestFit="1" customWidth="1"/>
    <col min="4" max="4" width="38.140625" customWidth="1"/>
    <col min="6" max="6" width="3.28515625" customWidth="1"/>
    <col min="7" max="7" width="9.140625" hidden="1" customWidth="1"/>
    <col min="8" max="8" width="8.42578125" customWidth="1"/>
    <col min="9" max="9" width="17.42578125" customWidth="1"/>
    <col min="10" max="10" width="38.7109375" customWidth="1"/>
  </cols>
  <sheetData>
    <row r="1" spans="1:14" x14ac:dyDescent="0.25">
      <c r="A1" s="18">
        <v>9</v>
      </c>
      <c r="B1" s="18">
        <v>2</v>
      </c>
    </row>
    <row r="6" spans="1:14" ht="21" x14ac:dyDescent="0.35">
      <c r="B6" s="20" t="str" cm="1">
        <f t="array" ref="B6">INDEX(Table3[Industry],11-Dashboard!A1)</f>
        <v>Finance</v>
      </c>
      <c r="I6" s="19"/>
    </row>
    <row r="11" spans="1:14" x14ac:dyDescent="0.25">
      <c r="N11">
        <v>1</v>
      </c>
    </row>
    <row r="12" spans="1:14" ht="15.75" x14ac:dyDescent="0.25">
      <c r="C12" s="16"/>
      <c r="D12" s="16"/>
    </row>
  </sheetData>
  <dataConsolidate/>
  <pageMargins left="0.7" right="0.7" top="0.75" bottom="0.75" header="0.3" footer="0.3"/>
  <pageSetup scale="56"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2050" r:id="rId4" name="Spinner 2">
              <controlPr defaultSize="0" autoPict="0">
                <anchor moveWithCells="1" sizeWithCells="1">
                  <from>
                    <xdr:col>2</xdr:col>
                    <xdr:colOff>9525</xdr:colOff>
                    <xdr:row>5</xdr:row>
                    <xdr:rowOff>28575</xdr:rowOff>
                  </from>
                  <to>
                    <xdr:col>2</xdr:col>
                    <xdr:colOff>447675</xdr:colOff>
                    <xdr:row>6</xdr:row>
                    <xdr:rowOff>28575</xdr:rowOff>
                  </to>
                </anchor>
              </controlPr>
            </control>
          </mc:Choice>
        </mc:AlternateContent>
        <mc:AlternateContent xmlns:mc="http://schemas.openxmlformats.org/markup-compatibility/2006">
          <mc:Choice Requires="x14">
            <control shapeId="2053" r:id="rId5" name="Option Button 5">
              <controlPr defaultSize="0" autoFill="0" autoLine="0" autoPict="0" altText="">
                <anchor moveWithCells="1">
                  <from>
                    <xdr:col>7</xdr:col>
                    <xdr:colOff>371475</xdr:colOff>
                    <xdr:row>6</xdr:row>
                    <xdr:rowOff>85725</xdr:rowOff>
                  </from>
                  <to>
                    <xdr:col>8</xdr:col>
                    <xdr:colOff>885825</xdr:colOff>
                    <xdr:row>9</xdr:row>
                    <xdr:rowOff>47625</xdr:rowOff>
                  </to>
                </anchor>
              </controlPr>
            </control>
          </mc:Choice>
        </mc:AlternateContent>
        <mc:AlternateContent xmlns:mc="http://schemas.openxmlformats.org/markup-compatibility/2006">
          <mc:Choice Requires="x14">
            <control shapeId="2054" r:id="rId6" name="Option Button 6">
              <controlPr defaultSize="0" autoFill="0" autoLine="0" autoPict="0" altText="Employees per 1,000 Capita">
                <anchor moveWithCells="1">
                  <from>
                    <xdr:col>9</xdr:col>
                    <xdr:colOff>1076325</xdr:colOff>
                    <xdr:row>6</xdr:row>
                    <xdr:rowOff>104775</xdr:rowOff>
                  </from>
                  <to>
                    <xdr:col>10</xdr:col>
                    <xdr:colOff>457200</xdr:colOff>
                    <xdr:row>9</xdr:row>
                    <xdr:rowOff>66675</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State Helper Column</vt:lpstr>
      <vt:lpstr>Data Prep</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Enrique Ruiz</dc:creator>
  <cp:lastModifiedBy>Donna Cook</cp:lastModifiedBy>
  <cp:lastPrinted>2026-01-19T16:34:55Z</cp:lastPrinted>
  <dcterms:created xsi:type="dcterms:W3CDTF">2021-09-21T20:47:02Z</dcterms:created>
  <dcterms:modified xsi:type="dcterms:W3CDTF">2026-01-19T16:45:22Z</dcterms:modified>
</cp:coreProperties>
</file>