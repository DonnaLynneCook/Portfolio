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C:\Users\Smart\OneDrive\Desktop\Maven Analytics Course Material\Advanced Dashboard Designs in Excel\advanced-excel-dashboard-design_course_resources\ExcelDashboardDatasets\"/>
    </mc:Choice>
  </mc:AlternateContent>
  <xr:revisionPtr revIDLastSave="0" documentId="13_ncr:1_{DD47CA20-8FC9-4D2E-AF72-F3D3A45ED51E}" xr6:coauthVersionLast="47" xr6:coauthVersionMax="47" xr10:uidLastSave="{00000000-0000-0000-0000-000000000000}"/>
  <bookViews>
    <workbookView xWindow="28680" yWindow="-120" windowWidth="20640" windowHeight="11040" activeTab="2" xr2:uid="{EA944FB1-DE3F-40F9-BBAA-0980B1568DEE}"/>
  </bookViews>
  <sheets>
    <sheet name="Data" sheetId="16" r:id="rId1"/>
    <sheet name="Data Prep" sheetId="22" state="hidden" r:id="rId2"/>
    <sheet name="Dashboard" sheetId="23" r:id="rId3"/>
    <sheet name="New Data (Aug 2021)" sheetId="21" r:id="rId4"/>
    <sheet name="New Data (Sep 2021)" sheetId="18" r:id="rId5"/>
  </sheets>
  <definedNames>
    <definedName name="_xlnm._FilterDatabase" localSheetId="0" hidden="1">Data!$A$1:$J$4795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8" i="22" l="1"/>
  <c r="J2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10" i="22" l="1"/>
  <c r="I2" i="22" s="1"/>
  <c r="B9" i="22"/>
  <c r="B13" i="22" s="1"/>
  <c r="F5" i="23" s="1"/>
  <c r="AY49" i="16" l="1"/>
  <c r="K5" i="22"/>
  <c r="K6" i="22"/>
  <c r="K12" i="22"/>
  <c r="K7" i="22"/>
  <c r="K13" i="22"/>
  <c r="K8" i="22"/>
  <c r="K14" i="22"/>
  <c r="K3" i="22"/>
  <c r="K4" i="22"/>
  <c r="AB7" i="22"/>
  <c r="AB29" i="22"/>
  <c r="AB32" i="22"/>
  <c r="AB19" i="22"/>
  <c r="AB36" i="22"/>
  <c r="AB11" i="22"/>
  <c r="AB22" i="22"/>
  <c r="AB31" i="22"/>
  <c r="AB5" i="22"/>
  <c r="AB6" i="22"/>
  <c r="AB13" i="22"/>
  <c r="AB28" i="22"/>
  <c r="AB14" i="22"/>
  <c r="AB12" i="22"/>
  <c r="AB25" i="22"/>
  <c r="AB34" i="22"/>
  <c r="AB26" i="22"/>
  <c r="AB17" i="22"/>
  <c r="AB18" i="22"/>
  <c r="AB8" i="22"/>
  <c r="AB4" i="22"/>
  <c r="AB3" i="22"/>
  <c r="AB9" i="22"/>
  <c r="AB23" i="22"/>
  <c r="AB24" i="22"/>
  <c r="AB20" i="22"/>
  <c r="AB35" i="22"/>
  <c r="AB10" i="22"/>
  <c r="AB21" i="22"/>
  <c r="AB30" i="22"/>
  <c r="AB16" i="22"/>
  <c r="AB33" i="22"/>
  <c r="AB15" i="22"/>
  <c r="AB27" i="22"/>
  <c r="AY43" i="16"/>
  <c r="AY16" i="16"/>
  <c r="AY40" i="16"/>
  <c r="AY29" i="16"/>
  <c r="AY46" i="16"/>
  <c r="AY50" i="16"/>
  <c r="AY22" i="16"/>
  <c r="AY19" i="16"/>
  <c r="N11" i="22"/>
  <c r="J7" i="22"/>
  <c r="J13" i="22"/>
  <c r="N12" i="22"/>
  <c r="N5" i="22"/>
  <c r="J8" i="22"/>
  <c r="J14" i="22"/>
  <c r="N6" i="22"/>
  <c r="J9" i="22"/>
  <c r="K9" i="22" s="1"/>
  <c r="J3" i="22"/>
  <c r="N3" i="22"/>
  <c r="N8" i="22"/>
  <c r="J4" i="22"/>
  <c r="J10" i="22"/>
  <c r="K10" i="22" s="1"/>
  <c r="N9" i="22"/>
  <c r="N4" i="22"/>
  <c r="J5" i="22"/>
  <c r="J11" i="22"/>
  <c r="K11" i="22" s="1"/>
  <c r="N7" i="22"/>
  <c r="N10" i="22"/>
  <c r="J6" i="22"/>
  <c r="J12" i="22"/>
  <c r="AY32" i="16"/>
  <c r="AY48" i="16"/>
  <c r="AY7" i="16"/>
  <c r="AY14" i="16"/>
  <c r="AY6" i="16"/>
  <c r="AY13" i="16"/>
  <c r="AY15" i="16"/>
  <c r="AY37" i="16"/>
  <c r="AY18" i="16"/>
  <c r="AY17" i="16"/>
  <c r="AY10" i="16"/>
  <c r="AY27" i="16"/>
  <c r="AY38" i="16"/>
  <c r="E3" i="22"/>
  <c r="E2" i="22"/>
  <c r="B11" i="22"/>
  <c r="B12" i="22"/>
  <c r="AY4" i="16"/>
  <c r="AY33" i="16"/>
  <c r="AY42" i="16"/>
  <c r="AY21" i="16"/>
  <c r="AY30" i="16"/>
  <c r="AY24" i="16"/>
  <c r="AY52" i="16"/>
  <c r="AY5" i="16"/>
  <c r="AY26" i="16"/>
  <c r="AY25" i="16"/>
  <c r="AY3" i="16"/>
  <c r="AY11" i="16"/>
  <c r="AY45" i="16"/>
  <c r="AY51" i="16"/>
  <c r="AY47" i="16"/>
  <c r="AY9" i="16"/>
  <c r="AY31" i="16"/>
  <c r="AY35" i="16"/>
  <c r="AY41" i="16"/>
  <c r="AY23" i="16"/>
  <c r="AY44" i="16"/>
  <c r="AY39" i="16"/>
  <c r="AY12" i="16"/>
  <c r="AY20" i="16"/>
  <c r="AY36" i="16"/>
  <c r="AY34" i="16"/>
  <c r="AY28" i="16"/>
  <c r="AY8" i="16"/>
  <c r="I5" i="22"/>
  <c r="I12" i="22"/>
  <c r="I13" i="22"/>
  <c r="I8" i="22"/>
  <c r="I14" i="22"/>
  <c r="I9" i="22"/>
  <c r="I3" i="22"/>
  <c r="I10" i="22"/>
  <c r="I6" i="22"/>
  <c r="I4" i="22"/>
  <c r="I11" i="22"/>
  <c r="I7" i="22"/>
  <c r="AC7" i="22" l="1"/>
  <c r="AD7" i="22" s="1"/>
  <c r="AC13" i="22"/>
  <c r="AD13" i="22" s="1"/>
  <c r="AC19" i="22"/>
  <c r="AD19" i="22" s="1"/>
  <c r="AC25" i="22"/>
  <c r="AD25" i="22" s="1"/>
  <c r="AC31" i="22"/>
  <c r="AC16" i="22"/>
  <c r="AD16" i="22" s="1"/>
  <c r="AC28" i="22"/>
  <c r="AD28" i="22" s="1"/>
  <c r="AC11" i="22"/>
  <c r="AD11" i="22" s="1"/>
  <c r="AC23" i="22"/>
  <c r="AD23" i="22" s="1"/>
  <c r="AC35" i="22"/>
  <c r="AD35" i="22" s="1"/>
  <c r="AC12" i="22"/>
  <c r="AD12" i="22" s="1"/>
  <c r="AC18" i="22"/>
  <c r="AD18" i="22" s="1"/>
  <c r="AC30" i="22"/>
  <c r="AD30" i="22" s="1"/>
  <c r="AC8" i="22"/>
  <c r="AD8" i="22" s="1"/>
  <c r="AC14" i="22"/>
  <c r="AD14" i="22" s="1"/>
  <c r="AC20" i="22"/>
  <c r="AD20" i="22" s="1"/>
  <c r="AC26" i="22"/>
  <c r="AD26" i="22" s="1"/>
  <c r="AC32" i="22"/>
  <c r="AD32" i="22" s="1"/>
  <c r="AC9" i="22"/>
  <c r="AD9" i="22" s="1"/>
  <c r="AC15" i="22"/>
  <c r="AD15" i="22" s="1"/>
  <c r="AC21" i="22"/>
  <c r="AD21" i="22" s="1"/>
  <c r="AC27" i="22"/>
  <c r="AD27" i="22" s="1"/>
  <c r="AC33" i="22"/>
  <c r="AD33" i="22" s="1"/>
  <c r="AC10" i="22"/>
  <c r="AD10" i="22" s="1"/>
  <c r="AC22" i="22"/>
  <c r="AD22" i="22" s="1"/>
  <c r="AC34" i="22"/>
  <c r="AD34" i="22" s="1"/>
  <c r="AC5" i="22"/>
  <c r="AD5" i="22" s="1"/>
  <c r="AC17" i="22"/>
  <c r="AD17" i="22" s="1"/>
  <c r="AC29" i="22"/>
  <c r="AD29" i="22" s="1"/>
  <c r="AC6" i="22"/>
  <c r="AD6" i="22" s="1"/>
  <c r="AC24" i="22"/>
  <c r="AD24" i="22" s="1"/>
  <c r="AC36" i="22"/>
  <c r="AD36" i="22" s="1"/>
  <c r="AC3" i="22"/>
  <c r="AD3" i="22" s="1"/>
  <c r="AC4" i="22"/>
  <c r="AD4" i="22" s="1"/>
  <c r="AD31" i="22"/>
  <c r="Q4" i="22"/>
  <c r="V11" i="22"/>
  <c r="V3" i="22"/>
  <c r="Q12" i="22"/>
  <c r="V6" i="22"/>
  <c r="Q9" i="22"/>
  <c r="V9" i="22"/>
  <c r="Q6" i="22"/>
  <c r="V8" i="22"/>
  <c r="Q7" i="22"/>
  <c r="V4" i="22"/>
  <c r="Q11" i="22"/>
  <c r="Q10" i="22"/>
  <c r="V5" i="22"/>
  <c r="V7" i="22"/>
  <c r="Q8" i="22"/>
  <c r="Q3" i="22"/>
  <c r="V12" i="22"/>
  <c r="V10" i="22"/>
  <c r="Q5" i="22"/>
  <c r="O3" i="22"/>
  <c r="P3" i="22" s="1"/>
  <c r="O8" i="22"/>
  <c r="P8" i="22" s="1"/>
  <c r="O5" i="22"/>
  <c r="P5" i="22" s="1"/>
  <c r="O9" i="22"/>
  <c r="P9" i="22" s="1"/>
  <c r="O4" i="22"/>
  <c r="P4" i="22" s="1"/>
  <c r="O7" i="22"/>
  <c r="P7" i="22" s="1"/>
  <c r="O10" i="22"/>
  <c r="P10" i="22" s="1"/>
  <c r="O11" i="22"/>
  <c r="P11" i="22" s="1"/>
  <c r="O12" i="22"/>
  <c r="P12" i="22" s="1"/>
  <c r="O6" i="22"/>
  <c r="P6" i="22" s="1"/>
  <c r="E4" i="22"/>
  <c r="E6" i="22" s="1"/>
  <c r="E5" i="22"/>
  <c r="AE6" i="22" l="1"/>
  <c r="AF6" i="22"/>
  <c r="AF32" i="22"/>
  <c r="AE32" i="22"/>
  <c r="AF26" i="22"/>
  <c r="AE26" i="22"/>
  <c r="AE3" i="22"/>
  <c r="AF3" i="22"/>
  <c r="AE34" i="22"/>
  <c r="AF34" i="22"/>
  <c r="AE11" i="22"/>
  <c r="AF11" i="22"/>
  <c r="AE13" i="22"/>
  <c r="AF13" i="22"/>
  <c r="AE10" i="22"/>
  <c r="AF10" i="22"/>
  <c r="AE18" i="22"/>
  <c r="AF18" i="22"/>
  <c r="AE19" i="22"/>
  <c r="AF19" i="22"/>
  <c r="AF9" i="22"/>
  <c r="AE9" i="22"/>
  <c r="AE30" i="22"/>
  <c r="AF30" i="22"/>
  <c r="AF28" i="22"/>
  <c r="AE28" i="22"/>
  <c r="AF27" i="22"/>
  <c r="AE27" i="22"/>
  <c r="AE7" i="22"/>
  <c r="AF7" i="22"/>
  <c r="AE29" i="22"/>
  <c r="AF29" i="22"/>
  <c r="AE23" i="22"/>
  <c r="AF23" i="22"/>
  <c r="AF15" i="22"/>
  <c r="AE15" i="22"/>
  <c r="AE22" i="22"/>
  <c r="AF22" i="22"/>
  <c r="AE31" i="22"/>
  <c r="AF31" i="22"/>
  <c r="AE17" i="22"/>
  <c r="AF17" i="22"/>
  <c r="AF33" i="22"/>
  <c r="AE33" i="22"/>
  <c r="AE35" i="22"/>
  <c r="AF35" i="22"/>
  <c r="AF14" i="22"/>
  <c r="AE14" i="22"/>
  <c r="AE12" i="22"/>
  <c r="AF12" i="22"/>
  <c r="AE5" i="22"/>
  <c r="AF5" i="22"/>
  <c r="AF21" i="22"/>
  <c r="AE21" i="22"/>
  <c r="AF8" i="22"/>
  <c r="AE8" i="22"/>
  <c r="AE25" i="22"/>
  <c r="AF25" i="22"/>
  <c r="AE36" i="22"/>
  <c r="AF36" i="22"/>
  <c r="AF16" i="22"/>
  <c r="AE16" i="22"/>
  <c r="AF20" i="22"/>
  <c r="AE20" i="22"/>
  <c r="AF4" i="22"/>
  <c r="AE4" i="22"/>
  <c r="AE24" i="22"/>
  <c r="AF24" i="22"/>
  <c r="T8" i="22"/>
  <c r="T9" i="22"/>
  <c r="T4" i="22"/>
  <c r="T10" i="22"/>
  <c r="T5" i="22"/>
  <c r="T11" i="22"/>
  <c r="T6" i="22"/>
  <c r="T12" i="22"/>
  <c r="T7" i="22"/>
  <c r="T3" i="22"/>
  <c r="W8" i="22" l="1"/>
  <c r="U8" i="22"/>
  <c r="W3" i="22"/>
  <c r="U3" i="22"/>
  <c r="W10" i="22"/>
  <c r="U10" i="22"/>
  <c r="W7" i="22"/>
  <c r="U7" i="22"/>
  <c r="W9" i="22"/>
  <c r="U9" i="22"/>
  <c r="W4" i="22"/>
  <c r="U4" i="22"/>
  <c r="W12" i="22"/>
  <c r="U12" i="22"/>
  <c r="W6" i="22"/>
  <c r="U6" i="22"/>
  <c r="W11" i="22"/>
  <c r="U11" i="22"/>
  <c r="W5" i="22"/>
  <c r="U5" i="22"/>
  <c r="AJ17" i="22"/>
  <c r="O26" i="23" s="1"/>
  <c r="AK17" i="22"/>
  <c r="P26" i="23" s="1"/>
  <c r="AI17" i="22"/>
  <c r="N26" i="23" s="1"/>
  <c r="AK8" i="22"/>
  <c r="P14" i="23" s="1"/>
  <c r="AI7" i="22"/>
  <c r="AJ8" i="22"/>
  <c r="O14" i="23" s="1"/>
  <c r="AI8" i="22"/>
  <c r="N14" i="23" s="1"/>
  <c r="AK13" i="22"/>
  <c r="P22" i="23" s="1"/>
  <c r="AK14" i="22"/>
  <c r="P23" i="23" s="1"/>
  <c r="AJ16" i="22"/>
  <c r="O25" i="23" s="1"/>
  <c r="AI16" i="22"/>
  <c r="N25" i="23" s="1"/>
  <c r="AK15" i="22"/>
  <c r="P24" i="23" s="1"/>
  <c r="AK12" i="22"/>
  <c r="P21" i="23" s="1"/>
  <c r="AI12" i="22"/>
  <c r="N21" i="23" s="1"/>
  <c r="AK16" i="22"/>
  <c r="P25" i="23" s="1"/>
  <c r="AJ12" i="22"/>
  <c r="O21" i="23" s="1"/>
  <c r="AI14" i="22"/>
  <c r="N23" i="23" s="1"/>
  <c r="AI15" i="22"/>
  <c r="N24" i="23" s="1"/>
  <c r="AJ13" i="22"/>
  <c r="O22" i="23" s="1"/>
  <c r="AI13" i="22"/>
  <c r="N22" i="23" s="1"/>
  <c r="AJ14" i="22"/>
  <c r="O23" i="23" s="1"/>
  <c r="AJ15" i="22"/>
  <c r="O24" i="23" s="1"/>
  <c r="AJ3" i="22"/>
  <c r="O9" i="23" s="1"/>
  <c r="N13" i="23"/>
  <c r="AJ7" i="22"/>
  <c r="O13" i="23" s="1"/>
  <c r="AI5" i="22"/>
  <c r="N11" i="23" s="1"/>
  <c r="AI6" i="22"/>
  <c r="N12" i="23" s="1"/>
  <c r="AI3" i="22"/>
  <c r="N9" i="23" s="1"/>
  <c r="AJ6" i="22"/>
  <c r="O12" i="23" s="1"/>
  <c r="AI4" i="22"/>
  <c r="N10" i="23" s="1"/>
  <c r="AJ5" i="22"/>
  <c r="O11" i="23" s="1"/>
  <c r="AJ4" i="22"/>
  <c r="O10" i="23" s="1"/>
  <c r="AK7" i="22"/>
  <c r="P13" i="23" s="1"/>
  <c r="AK3" i="22"/>
  <c r="P9" i="23" s="1"/>
  <c r="AK4" i="22"/>
  <c r="P10" i="23" s="1"/>
  <c r="AK5" i="22"/>
  <c r="P11" i="23" s="1"/>
  <c r="AK6" i="22"/>
  <c r="P12" i="23" s="1"/>
  <c r="Y11" i="22" l="1"/>
  <c r="X11" i="22"/>
  <c r="Y4" i="22"/>
  <c r="X4" i="22"/>
  <c r="Y10" i="22"/>
  <c r="X10" i="22"/>
  <c r="Y6" i="22"/>
  <c r="X6" i="22"/>
  <c r="X9" i="22"/>
  <c r="Y9" i="22"/>
  <c r="Y3" i="22"/>
  <c r="X3" i="22"/>
  <c r="X5" i="22"/>
  <c r="Y5" i="22"/>
  <c r="X12" i="22"/>
  <c r="Y12" i="22"/>
  <c r="X7" i="22"/>
  <c r="Y7" i="22"/>
  <c r="X8" i="22"/>
  <c r="Y8" i="22"/>
  <c r="P15" i="23"/>
  <c r="P27" i="23"/>
</calcChain>
</file>

<file path=xl/sharedStrings.xml><?xml version="1.0" encoding="utf-8"?>
<sst xmlns="http://schemas.openxmlformats.org/spreadsheetml/2006/main" count="26850" uniqueCount="122">
  <si>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</si>
  <si>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</si>
  <si>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</si>
  <si>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</si>
  <si>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</si>
  <si>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</si>
  <si>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</si>
  <si>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</si>
  <si>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</si>
  <si>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</si>
  <si>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</si>
  <si>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</si>
  <si>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</si>
  <si>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</si>
  <si>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</si>
  <si>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</si>
  <si>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</si>
  <si>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</si>
  <si>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</si>
  <si>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</si>
  <si>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</si>
  <si>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</si>
  <si>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</si>
  <si>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</si>
  <si>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</si>
  <si>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</si>
  <si>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</si>
  <si>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</si>
  <si>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</si>
  <si>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</si>
  <si>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</si>
  <si>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</si>
  <si>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</si>
  <si>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</si>
  <si>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</si>
  <si>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</si>
  <si>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</si>
  <si>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</si>
  <si>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</si>
  <si>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</si>
  <si>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</si>
  <si>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</si>
  <si>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</si>
  <si>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</si>
  <si>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</si>
  <si>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</si>
  <si>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</si>
  <si>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</si>
  <si>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</si>
  <si>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</si>
  <si>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</si>
  <si>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</si>
  <si>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</si>
  <si>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</si>
  <si>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</si>
  <si>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</si>
  <si>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</si>
  <si>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</si>
  <si>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</si>
  <si>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</si>
  <si>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</si>
  <si>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</si>
  <si>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</si>
  <si>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</si>
  <si>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</si>
  <si>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</si>
  <si>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</si>
  <si>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</si>
  <si>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</si>
  <si>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</si>
  <si>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</si>
  <si>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</si>
  <si>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</si>
  <si>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</si>
  <si>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</si>
  <si>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REGION FILTER</t>
  </si>
  <si>
    <t>Selection</t>
  </si>
  <si>
    <t>DATE FILTER</t>
  </si>
  <si>
    <t>Current Year:</t>
  </si>
  <si>
    <t>Current Month:</t>
  </si>
  <si>
    <t>Region:</t>
  </si>
  <si>
    <t>Previous Year:</t>
  </si>
  <si>
    <t>Previous Month:</t>
  </si>
  <si>
    <t>KPIs</t>
  </si>
  <si>
    <t>Total Revenue:</t>
  </si>
  <si>
    <t>PY Revenue:</t>
  </si>
  <si>
    <t>PM Revenue:</t>
  </si>
  <si>
    <t>PM Year:</t>
  </si>
  <si>
    <t>YOY % Change:</t>
  </si>
  <si>
    <t>MOM % Change:</t>
  </si>
  <si>
    <t>`</t>
  </si>
  <si>
    <t>REVENUE TREND</t>
  </si>
  <si>
    <t>Month#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</si>
  <si>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</si>
  <si>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</si>
  <si>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</si>
  <si>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</si>
  <si>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</si>
  <si>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</si>
  <si>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</si>
  <si>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</si>
  <si>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</si>
  <si>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</si>
  <si>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</si>
  <si>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</si>
  <si>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STORE PERFORMANCE</t>
  </si>
  <si>
    <t>PM Revenue</t>
  </si>
  <si>
    <t>MOM % Chg</t>
  </si>
  <si>
    <t>Rank</t>
  </si>
  <si>
    <t>STORE PERFORMANCE (SORTED)</t>
  </si>
  <si>
    <t>PRODUCT PERFORMANCE</t>
  </si>
  <si>
    <t>Product</t>
  </si>
  <si>
    <t>MoM Revenue Chg</t>
  </si>
  <si>
    <t>Rank (+)</t>
  </si>
  <si>
    <t>Rank (-)</t>
  </si>
  <si>
    <t>TOP PERFORMING PRODUCTS</t>
  </si>
  <si>
    <t>MOM Revenue Chg</t>
  </si>
  <si>
    <t>BOTTOM PERFORMING PRODUCTS</t>
  </si>
  <si>
    <r>
      <t xml:space="preserve">MoM Revenue </t>
    </r>
    <r>
      <rPr>
        <b/>
        <sz val="11"/>
        <color theme="1"/>
        <rFont val="Calibri"/>
        <family val="2"/>
      </rPr>
      <t>Δ</t>
    </r>
  </si>
  <si>
    <t>How did</t>
  </si>
  <si>
    <t>Current Period:</t>
  </si>
  <si>
    <t>perform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</si>
</sst>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20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1" fillId="0" borderId="0" xfId="0" applyFont="1" applyAlignment="1">
      <alignment horizontal="right"/>
    </xf>
    <xf numFmtId="0" fontId="1" fillId="5" borderId="0" xfId="0" applyFont="1" applyFill="1" applyAlignment="1">
      <alignment horizontal="right"/>
    </xf>
    <xf numFmtId="0" fontId="1" fillId="5" borderId="0" xfId="0" applyFont="1" applyFill="1"/>
    <xf numFmtId="165" fontId="0" fillId="0" borderId="0" xfId="0" applyNumberFormat="1"/>
    <xf numFmtId="9" fontId="0" fillId="0" borderId="0" xfId="0" applyNumberFormat="1"/>
    <xf numFmtId="0" fontId="3" fillId="6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165" fontId="1" fillId="0" borderId="0" xfId="0" applyNumberFormat="1" applyFont="1" applyAlignment="1">
      <alignment horizontal="center"/>
    </xf>
    <xf numFmtId="164" fontId="4" fillId="0" borderId="0" xfId="0" applyNumberFormat="1" applyFont="1"/>
    <xf numFmtId="164" fontId="6" fillId="0" borderId="0" xfId="0" applyNumberFormat="1" applyFont="1"/>
    <xf numFmtId="164" fontId="4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8" borderId="0" xfId="0" applyFont="1" applyFill="1" applyProtection="1">
      <protection locked="0"/>
    </xf>
  </cellXfs>
  <cellStyles count="1">
    <cellStyle name="Normal" xfId="0" builtinId="0"/>
  </cellStyles>
  <dxfs count="7"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FF2F2F"/>
      <color rgb="FFFF6565"/>
      <color rgb="FFF98386"/>
      <color rgb="FFF9777A"/>
      <color rgb="FFFF4343"/>
      <color rgb="FFFF9595"/>
      <color rgb="FF20E2D7"/>
      <color rgb="FFF2F2F2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3253646409763"/>
          <c:y val="0.16883125170160632"/>
          <c:w val="0.71580480310596495"/>
          <c:h val="0.70151804553498498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2020</c:v>
                </c:pt>
              </c:strCache>
            </c:strRef>
          </c:tx>
          <c:spPr>
            <a:ln w="127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63051.609999999993</c:v>
                </c:pt>
                <c:pt idx="1">
                  <c:v>65298.220000000023</c:v>
                </c:pt>
                <c:pt idx="2">
                  <c:v>64161.95</c:v>
                </c:pt>
                <c:pt idx="3">
                  <c:v>80619.25999999998</c:v>
                </c:pt>
                <c:pt idx="4">
                  <c:v>79560.950000000026</c:v>
                </c:pt>
                <c:pt idx="5">
                  <c:v>85430.399999999965</c:v>
                </c:pt>
                <c:pt idx="6">
                  <c:v>70835.710000000006</c:v>
                </c:pt>
                <c:pt idx="7">
                  <c:v>55171.65</c:v>
                </c:pt>
                <c:pt idx="8">
                  <c:v>67569.269999999975</c:v>
                </c:pt>
                <c:pt idx="9">
                  <c:v>64882.340000000018</c:v>
                </c:pt>
                <c:pt idx="10">
                  <c:v>73732.52</c:v>
                </c:pt>
                <c:pt idx="11">
                  <c:v>93356.910000000018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5-473E-A48E-96C2C4D35BD7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81321.820000000022</c:v>
                </c:pt>
                <c:pt idx="1">
                  <c:v>87902.16</c:v>
                </c:pt>
                <c:pt idx="2">
                  <c:v>105385.7199999999</c:v>
                </c:pt>
                <c:pt idx="3">
                  <c:v>99650.11000000003</c:v>
                </c:pt>
                <c:pt idx="4">
                  <c:v>93467.969999999972</c:v>
                </c:pt>
                <c:pt idx="5">
                  <c:v>91637.330000000016</c:v>
                </c:pt>
                <c:pt idx="6">
                  <c:v>94953.469999999958</c:v>
                </c:pt>
                <c:pt idx="7">
                  <c:v>69798.989999999991</c:v>
                </c:pt>
                <c:pt idx="8">
                  <c:v>61703.64999999998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5-473E-A48E-96C2C4D35BD7}"/>
            </c:ext>
          </c:extLst>
        </c:ser>
        <c:ser>
          <c:idx val="2"/>
          <c:order val="2"/>
          <c:tx>
            <c:strRef>
              <c:f>'Data Prep'!$K$2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206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'Data Prep'!$H$3:$H$14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61703.64999999998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B75-473E-A48E-96C2C4D3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43056"/>
        <c:axId val="169644016"/>
      </c:lineChart>
      <c:catAx>
        <c:axId val="16964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4016"/>
        <c:crosses val="autoZero"/>
        <c:auto val="1"/>
        <c:lblAlgn val="ctr"/>
        <c:lblOffset val="100"/>
        <c:noMultiLvlLbl val="0"/>
      </c:catAx>
      <c:valAx>
        <c:axId val="1696440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Revenue</a:t>
                </a:r>
              </a:p>
            </c:rich>
          </c:tx>
          <c:layout>
            <c:manualLayout>
              <c:xMode val="edge"/>
              <c:yMode val="edge"/>
              <c:x val="0"/>
              <c:y val="5.57653612510209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3056"/>
        <c:crosses val="autoZero"/>
        <c:crossBetween val="between"/>
        <c:majorUnit val="2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45428633741699"/>
          <c:y val="0.1196288331294984"/>
          <c:w val="0.71241868405417808"/>
          <c:h val="0.872966165194206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Prep'!$T$3:$T$12</c:f>
              <c:strCache>
                <c:ptCount val="10"/>
                <c:pt idx="0">
                  <c:v>Times Square</c:v>
                </c:pt>
                <c:pt idx="1">
                  <c:v>Millenium</c:v>
                </c:pt>
                <c:pt idx="2">
                  <c:v>O'Hare</c:v>
                </c:pt>
                <c:pt idx="3">
                  <c:v>LAX</c:v>
                </c:pt>
                <c:pt idx="4">
                  <c:v>Lincoln Park</c:v>
                </c:pt>
                <c:pt idx="5">
                  <c:v>Fifth Avenue</c:v>
                </c:pt>
                <c:pt idx="6">
                  <c:v>Beverly Hills</c:v>
                </c:pt>
                <c:pt idx="7">
                  <c:v>JFK</c:v>
                </c:pt>
                <c:pt idx="8">
                  <c:v>Hollywood</c:v>
                </c:pt>
                <c:pt idx="9">
                  <c:v>Michigan Ave</c:v>
                </c:pt>
              </c:strCache>
            </c:strRef>
          </c:cat>
          <c:val>
            <c:numRef>
              <c:f>'Data Prep'!$V$3:$V$12</c:f>
              <c:numCache>
                <c:formatCode>"$"#,##0</c:formatCode>
                <c:ptCount val="10"/>
                <c:pt idx="0">
                  <c:v>18237.980000000003</c:v>
                </c:pt>
                <c:pt idx="1">
                  <c:v>18171.759999999995</c:v>
                </c:pt>
                <c:pt idx="2">
                  <c:v>16255.230000000001</c:v>
                </c:pt>
                <c:pt idx="3">
                  <c:v>20484.010000000002</c:v>
                </c:pt>
                <c:pt idx="4">
                  <c:v>17505.330000000002</c:v>
                </c:pt>
                <c:pt idx="5">
                  <c:v>18238.46</c:v>
                </c:pt>
                <c:pt idx="6">
                  <c:v>13879.13</c:v>
                </c:pt>
                <c:pt idx="7">
                  <c:v>15765.830000000002</c:v>
                </c:pt>
                <c:pt idx="8">
                  <c:v>7721.8800000000019</c:v>
                </c:pt>
                <c:pt idx="9">
                  <c:v>10103.540000000001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F-43BB-9BF9-A7E4E64F5DA1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Prep'!$T$3:$T$12</c:f>
              <c:strCache>
                <c:ptCount val="10"/>
                <c:pt idx="0">
                  <c:v>Times Square</c:v>
                </c:pt>
                <c:pt idx="1">
                  <c:v>Millenium</c:v>
                </c:pt>
                <c:pt idx="2">
                  <c:v>O'Hare</c:v>
                </c:pt>
                <c:pt idx="3">
                  <c:v>LAX</c:v>
                </c:pt>
                <c:pt idx="4">
                  <c:v>Lincoln Park</c:v>
                </c:pt>
                <c:pt idx="5">
                  <c:v>Fifth Avenue</c:v>
                </c:pt>
                <c:pt idx="6">
                  <c:v>Beverly Hills</c:v>
                </c:pt>
                <c:pt idx="7">
                  <c:v>JFK</c:v>
                </c:pt>
                <c:pt idx="8">
                  <c:v>Hollywood</c:v>
                </c:pt>
                <c:pt idx="9">
                  <c:v>Michigan Ave</c:v>
                </c:pt>
              </c:strCache>
            </c:strRef>
          </c:cat>
          <c:val>
            <c:numRef>
              <c:f>'Data Prep'!$X$3:$X$12</c:f>
              <c:numCache>
                <c:formatCode>"$"#,##0</c:formatCode>
                <c:ptCount val="10"/>
                <c:pt idx="0">
                  <c:v>0</c:v>
                </c:pt>
                <c:pt idx="1">
                  <c:v>18171.759999999995</c:v>
                </c:pt>
                <c:pt idx="2">
                  <c:v>16255.230000000001</c:v>
                </c:pt>
                <c:pt idx="3">
                  <c:v>0</c:v>
                </c:pt>
                <c:pt idx="4">
                  <c:v>17505.330000000002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10103.540000000001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F-43BB-9BF9-A7E4E64F5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69697776"/>
        <c:axId val="169689136"/>
      </c:barChart>
      <c:catAx>
        <c:axId val="169697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9136"/>
        <c:crosses val="autoZero"/>
        <c:auto val="0"/>
        <c:lblAlgn val="ctr"/>
        <c:lblOffset val="100"/>
        <c:noMultiLvlLbl val="0"/>
      </c:catAx>
      <c:valAx>
        <c:axId val="169689136"/>
        <c:scaling>
          <c:orientation val="minMax"/>
        </c:scaling>
        <c:delete val="1"/>
        <c:axPos val="t"/>
        <c:numFmt formatCode="&quot;$&quot;#,##0" sourceLinked="1"/>
        <c:majorTickMark val="none"/>
        <c:minorTickMark val="none"/>
        <c:tickLblPos val="nextTo"/>
        <c:crossAx val="1696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406693393543984E-2"/>
          <c:y val="9.6017782466186946E-2"/>
          <c:w val="0.87261825601769327"/>
          <c:h val="0.8921048864107296"/>
        </c:manualLayout>
      </c:layout>
      <c:barChart>
        <c:barDir val="bar"/>
        <c:grouping val="clustered"/>
        <c:varyColors val="1"/>
        <c:ser>
          <c:idx val="1"/>
          <c:order val="0"/>
          <c:tx>
            <c:v>All Stores Not Selected</c:v>
          </c:tx>
          <c:spPr>
            <a:solidFill>
              <a:srgbClr val="AFABA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6-4AD2-9C9F-E7BAB1C7C081}"/>
              </c:ext>
            </c:extLst>
          </c:dPt>
          <c:dPt>
            <c:idx val="1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6-4AD2-9C9F-E7BAB1C7C081}"/>
              </c:ext>
            </c:extLst>
          </c:dPt>
          <c:dPt>
            <c:idx val="2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36-4AD2-9C9F-E7BAB1C7C081}"/>
              </c:ext>
            </c:extLst>
          </c:dPt>
          <c:dPt>
            <c:idx val="3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36-4AD2-9C9F-E7BAB1C7C081}"/>
              </c:ext>
            </c:extLst>
          </c:dPt>
          <c:dPt>
            <c:idx val="4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36-4AD2-9C9F-E7BAB1C7C081}"/>
              </c:ext>
            </c:extLst>
          </c:dPt>
          <c:dPt>
            <c:idx val="5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36-4AD2-9C9F-E7BAB1C7C081}"/>
              </c:ext>
            </c:extLst>
          </c:dPt>
          <c:dPt>
            <c:idx val="6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36-4AD2-9C9F-E7BAB1C7C081}"/>
              </c:ext>
            </c:extLst>
          </c:dPt>
          <c:dPt>
            <c:idx val="7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736-4AD2-9C9F-E7BAB1C7C081}"/>
              </c:ext>
            </c:extLst>
          </c:dPt>
          <c:dPt>
            <c:idx val="8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736-4AD2-9C9F-E7BAB1C7C081}"/>
              </c:ext>
            </c:extLst>
          </c:dPt>
          <c:dPt>
            <c:idx val="9"/>
            <c:invertIfNegative val="0"/>
            <c:bubble3D val="0"/>
            <c:spPr>
              <a:solidFill>
                <a:srgbClr val="AFABA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736-4AD2-9C9F-E7BAB1C7C081}"/>
              </c:ext>
            </c:extLst>
          </c:dPt>
          <c:dLbls>
            <c:delete val="1"/>
          </c:dLbls>
          <c:cat>
            <c:strRef>
              <c:f>'Data Prep'!$T$3:$T$12</c:f>
              <c:strCache>
                <c:ptCount val="10"/>
                <c:pt idx="0">
                  <c:v>Times Square</c:v>
                </c:pt>
                <c:pt idx="1">
                  <c:v>Millenium</c:v>
                </c:pt>
                <c:pt idx="2">
                  <c:v>O'Hare</c:v>
                </c:pt>
                <c:pt idx="3">
                  <c:v>LAX</c:v>
                </c:pt>
                <c:pt idx="4">
                  <c:v>Lincoln Park</c:v>
                </c:pt>
                <c:pt idx="5">
                  <c:v>Fifth Avenue</c:v>
                </c:pt>
                <c:pt idx="6">
                  <c:v>Beverly Hills</c:v>
                </c:pt>
                <c:pt idx="7">
                  <c:v>JFK</c:v>
                </c:pt>
                <c:pt idx="8">
                  <c:v>Hollywood</c:v>
                </c:pt>
                <c:pt idx="9">
                  <c:v>Michigan Ave</c:v>
                </c:pt>
              </c:strCache>
            </c:strRef>
          </c:cat>
          <c:val>
            <c:numRef>
              <c:f>'Data Prep'!$W$3:$W$12</c:f>
              <c:numCache>
                <c:formatCode>0%</c:formatCode>
                <c:ptCount val="10"/>
                <c:pt idx="0">
                  <c:v>0.14465033810308014</c:v>
                </c:pt>
                <c:pt idx="1">
                  <c:v>0.18953874088693379</c:v>
                </c:pt>
                <c:pt idx="2">
                  <c:v>-0.3315731431233282</c:v>
                </c:pt>
                <c:pt idx="3">
                  <c:v>-0.17099256839675403</c:v>
                </c:pt>
                <c:pt idx="4">
                  <c:v>2.6734476982343214E-2</c:v>
                </c:pt>
                <c:pt idx="5">
                  <c:v>-0.13607835613264074</c:v>
                </c:pt>
                <c:pt idx="6">
                  <c:v>0.38157142957292312</c:v>
                </c:pt>
                <c:pt idx="7">
                  <c:v>5.7257752439920262E-2</c:v>
                </c:pt>
                <c:pt idx="8">
                  <c:v>0.27268490293194403</c:v>
                </c:pt>
                <c:pt idx="9">
                  <c:v>-0.23788412342481746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736-4AD2-9C9F-E7BAB1C7C081}"/>
            </c:ext>
          </c:extLst>
        </c:ser>
        <c:ser>
          <c:idx val="0"/>
          <c:order val="1"/>
          <c:tx>
            <c:strRef>
              <c:f>'Data Prep'!$Y$2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Prep'!$T$3:$T$12</c:f>
              <c:strCache>
                <c:ptCount val="10"/>
                <c:pt idx="0">
                  <c:v>Times Square</c:v>
                </c:pt>
                <c:pt idx="1">
                  <c:v>Millenium</c:v>
                </c:pt>
                <c:pt idx="2">
                  <c:v>O'Hare</c:v>
                </c:pt>
                <c:pt idx="3">
                  <c:v>LAX</c:v>
                </c:pt>
                <c:pt idx="4">
                  <c:v>Lincoln Park</c:v>
                </c:pt>
                <c:pt idx="5">
                  <c:v>Fifth Avenue</c:v>
                </c:pt>
                <c:pt idx="6">
                  <c:v>Beverly Hills</c:v>
                </c:pt>
                <c:pt idx="7">
                  <c:v>JFK</c:v>
                </c:pt>
                <c:pt idx="8">
                  <c:v>Hollywood</c:v>
                </c:pt>
                <c:pt idx="9">
                  <c:v>Michigan Ave</c:v>
                </c:pt>
              </c:strCache>
            </c:strRef>
          </c:cat>
          <c:val>
            <c:numRef>
              <c:f>'Data Prep'!$Y$3:$Y$12</c:f>
              <c:numCache>
                <c:formatCode>0%</c:formatCode>
                <c:ptCount val="10"/>
                <c:pt idx="0">
                  <c:v>0</c:v>
                </c:pt>
                <c:pt idx="1">
                  <c:v>0.18953874088693379</c:v>
                </c:pt>
                <c:pt idx="2">
                  <c:v>-0.3315731431233282</c:v>
                </c:pt>
                <c:pt idx="3">
                  <c:v>0</c:v>
                </c:pt>
                <c:pt idx="4">
                  <c:v>2.6734476982343214E-2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-0.23788412342481746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15-1736-4AD2-9C9F-E7BAB1C7C0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5"/>
        <c:overlap val="100"/>
        <c:axId val="169697776"/>
        <c:axId val="169689136"/>
      </c:barChart>
      <c:catAx>
        <c:axId val="169697776"/>
        <c:scaling>
          <c:orientation val="maxMin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9136"/>
        <c:crosses val="autoZero"/>
        <c:auto val="0"/>
        <c:lblAlgn val="ctr"/>
        <c:lblOffset val="100"/>
        <c:noMultiLvlLbl val="0"/>
      </c:catAx>
      <c:valAx>
        <c:axId val="169689136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696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237286</xdr:colOff>
      <xdr:row>18</xdr:row>
      <xdr:rowOff>114300</xdr:rowOff>
    </xdr:from>
    <xdr:to>
      <xdr:col>4</xdr:col>
      <xdr:colOff>609599</xdr:colOff>
      <xdr:row>28</xdr:row>
      <xdr:rowOff>4151</xdr:rowOff>
    </xdr:to>
    <xdr:graphicFrame macro="">
      <xdr:nvGraphicFramePr>
        <xdr:cNvPr id="30" name="Chart 9">
          <a:extLst>
            <a:ext uri="{FF2B5EF4-FFF2-40B4-BE49-F238E27FC236}">
              <a16:creationId xmlns:a16="http://schemas.microsoft.com/office/drawing/2014/main" id="{8CE548C4-CA40-6E0F-E477-A14BE193F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190500</xdr:colOff>
      <xdr:row>0</xdr:row>
      <xdr:rowOff>47625</xdr:rowOff>
    </xdr:from>
    <xdr:to>
      <xdr:col>12</xdr:col>
      <xdr:colOff>190500</xdr:colOff>
      <xdr:row>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7F5596-89FC-655D-41FD-8F9AEF368C92}"/>
            </a:ext>
          </a:extLst>
        </xdr:cNvPr>
        <xdr:cNvSpPr txBox="1"/>
      </xdr:nvSpPr>
      <xdr:spPr>
        <a:xfrm>
          <a:off x="190500" y="238125"/>
          <a:ext cx="8181975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tx1">
                  <a:lumMod val="65000"/>
                  <a:lumOff val="35000"/>
                </a:schemeClr>
              </a:solidFill>
            </a:rPr>
            <a:t>REGIONAL REVENUE DASHBOARD</a:t>
          </a:r>
        </a:p>
      </xdr:txBody>
    </xdr:sp>
    <xdr:clientData/>
  </xdr:twoCellAnchor>
  <xdr:twoCellAnchor>
    <xdr:from>
      <xdr:col>0</xdr:col>
      <xdr:colOff>0</xdr:colOff>
      <xdr:row>5</xdr:row>
      <xdr:rowOff>28575</xdr:rowOff>
    </xdr:from>
    <xdr:to>
      <xdr:col>23</xdr:col>
      <xdr:colOff>276225</xdr:colOff>
      <xdr:row>5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84315C0-4F64-4157-B12D-11C7648FE017}"/>
            </a:ext>
          </a:extLst>
        </xdr:cNvPr>
        <xdr:cNvCxnSpPr/>
      </xdr:nvCxnSpPr>
      <xdr:spPr>
        <a:xfrm>
          <a:off x="0" y="1314450"/>
          <a:ext cx="15497175" cy="0"/>
        </a:xfrm>
        <a:prstGeom prst="line">
          <a:avLst/>
        </a:prstGeom>
        <a:ln w="15875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17</xdr:row>
      <xdr:rowOff>38100</xdr:rowOff>
    </xdr:from>
    <xdr:to>
      <xdr:col>5</xdr:col>
      <xdr:colOff>0</xdr:colOff>
      <xdr:row>18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837B15-522F-1E26-B9EC-F75B7B7F6D8E}"/>
            </a:ext>
          </a:extLst>
        </xdr:cNvPr>
        <xdr:cNvSpPr txBox="1"/>
      </xdr:nvSpPr>
      <xdr:spPr>
        <a:xfrm>
          <a:off x="314325" y="3219450"/>
          <a:ext cx="3933825" cy="25717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</a:rPr>
            <a:t>...</a:t>
          </a:r>
          <a:r>
            <a:rPr lang="en-US" sz="1050" b="1">
              <a:solidFill>
                <a:schemeClr val="bg2">
                  <a:lumMod val="75000"/>
                </a:schemeClr>
              </a:solidFill>
            </a:rPr>
            <a:t>and</a:t>
          </a:r>
          <a:r>
            <a:rPr lang="en-US" sz="1050" b="1" baseline="0">
              <a:solidFill>
                <a:schemeClr val="bg2">
                  <a:lumMod val="75000"/>
                </a:schemeClr>
              </a:solidFill>
            </a:rPr>
            <a:t> the </a:t>
          </a:r>
          <a:r>
            <a:rPr lang="en-US" sz="1050" b="0">
              <a:solidFill>
                <a:srgbClr val="002060"/>
              </a:solidFill>
              <a:latin typeface="+mn-lt"/>
              <a:ea typeface="+mn-ea"/>
              <a:cs typeface="+mn-cs"/>
            </a:rPr>
            <a:t>revenue</a:t>
          </a:r>
          <a:r>
            <a:rPr lang="en-US" sz="1050" b="0" baseline="0">
              <a:solidFill>
                <a:srgbClr val="002060"/>
              </a:solidFill>
            </a:rPr>
            <a:t> </a:t>
          </a:r>
          <a:r>
            <a:rPr lang="en-US" sz="1050" b="1" baseline="0">
              <a:solidFill>
                <a:srgbClr val="002060"/>
              </a:solidFill>
            </a:rPr>
            <a:t>trend</a:t>
          </a:r>
          <a:r>
            <a:rPr lang="en-US" sz="1050" b="1" baseline="0">
              <a:solidFill>
                <a:schemeClr val="bg2">
                  <a:lumMod val="75000"/>
                </a:schemeClr>
              </a:solidFill>
            </a:rPr>
            <a:t> in </a:t>
          </a:r>
          <a:r>
            <a:rPr lang="en-US" sz="1050" b="1" baseline="0">
              <a:solidFill>
                <a:srgbClr val="002060"/>
              </a:solidFill>
            </a:rPr>
            <a:t>2021</a:t>
          </a:r>
          <a:r>
            <a:rPr lang="en-US" sz="1050" b="1" baseline="0">
              <a:solidFill>
                <a:schemeClr val="bg2">
                  <a:lumMod val="75000"/>
                </a:schemeClr>
              </a:solidFill>
            </a:rPr>
            <a:t> vs. 2020</a:t>
          </a:r>
          <a:endParaRPr lang="en-US" sz="105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28575</xdr:colOff>
      <xdr:row>5</xdr:row>
      <xdr:rowOff>169058</xdr:rowOff>
    </xdr:from>
    <xdr:to>
      <xdr:col>13</xdr:col>
      <xdr:colOff>95250</xdr:colOff>
      <xdr:row>7</xdr:row>
      <xdr:rowOff>66675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86F308B-FA53-D09D-8A14-4BC2782CF8F0}"/>
            </a:ext>
          </a:extLst>
        </xdr:cNvPr>
        <xdr:cNvSpPr txBox="1"/>
      </xdr:nvSpPr>
      <xdr:spPr>
        <a:xfrm>
          <a:off x="3667125" y="1121558"/>
          <a:ext cx="4867275" cy="278617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tx1">
                  <a:lumMod val="65000"/>
                  <a:lumOff val="35000"/>
                </a:schemeClr>
              </a:solidFill>
            </a:rPr>
            <a:t>This is how </a:t>
          </a:r>
          <a:r>
            <a:rPr lang="en-US" sz="1050" b="1">
              <a:solidFill>
                <a:srgbClr val="002060"/>
              </a:solidFill>
            </a:rPr>
            <a:t>our stores </a:t>
          </a:r>
          <a:r>
            <a:rPr lang="en-US" sz="1050" b="1">
              <a:solidFill>
                <a:schemeClr val="tx1">
                  <a:lumMod val="65000"/>
                  <a:lumOff val="35000"/>
                </a:schemeClr>
              </a:solidFill>
            </a:rPr>
            <a:t>rank compared to</a:t>
          </a:r>
          <a:r>
            <a:rPr lang="en-US" sz="105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050" b="1" baseline="0">
              <a:solidFill>
                <a:schemeClr val="bg2">
                  <a:lumMod val="75000"/>
                </a:schemeClr>
              </a:solidFill>
            </a:rPr>
            <a:t>other regions</a:t>
          </a:r>
          <a:endParaRPr lang="en-US" sz="105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13</xdr:col>
      <xdr:colOff>352425</xdr:colOff>
      <xdr:row>5</xdr:row>
      <xdr:rowOff>76200</xdr:rowOff>
    </xdr:from>
    <xdr:to>
      <xdr:col>15</xdr:col>
      <xdr:colOff>742950</xdr:colOff>
      <xdr:row>7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A78B895-45E5-2F9B-3574-DA25143B73D1}"/>
            </a:ext>
          </a:extLst>
        </xdr:cNvPr>
        <xdr:cNvSpPr txBox="1"/>
      </xdr:nvSpPr>
      <xdr:spPr>
        <a:xfrm>
          <a:off x="8791575" y="1028700"/>
          <a:ext cx="24765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tx1">
                  <a:lumMod val="65000"/>
                  <a:lumOff val="35000"/>
                </a:schemeClr>
              </a:solidFill>
            </a:rPr>
            <a:t>Where these products </a:t>
          </a:r>
          <a:r>
            <a:rPr lang="en-US" sz="1050" b="1">
              <a:solidFill>
                <a:schemeClr val="accent6"/>
              </a:solidFill>
            </a:rPr>
            <a:t>drove growth</a:t>
          </a:r>
          <a:r>
            <a:rPr lang="en-US" sz="1050" b="1">
              <a:solidFill>
                <a:schemeClr val="tx1">
                  <a:lumMod val="65000"/>
                  <a:lumOff val="35000"/>
                </a:schemeClr>
              </a:solidFill>
            </a:rPr>
            <a:t>...</a:t>
          </a:r>
        </a:p>
      </xdr:txBody>
    </xdr:sp>
    <xdr:clientData/>
  </xdr:twoCellAnchor>
  <xdr:twoCellAnchor editAs="absolute">
    <xdr:from>
      <xdr:col>13</xdr:col>
      <xdr:colOff>276225</xdr:colOff>
      <xdr:row>17</xdr:row>
      <xdr:rowOff>9525</xdr:rowOff>
    </xdr:from>
    <xdr:to>
      <xdr:col>15</xdr:col>
      <xdr:colOff>666750</xdr:colOff>
      <xdr:row>18</xdr:row>
      <xdr:rowOff>66675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4A02DC-2519-2C50-FF11-EB86849AE6DB}"/>
            </a:ext>
          </a:extLst>
        </xdr:cNvPr>
        <xdr:cNvSpPr txBox="1"/>
      </xdr:nvSpPr>
      <xdr:spPr>
        <a:xfrm>
          <a:off x="8715375" y="3190875"/>
          <a:ext cx="2476500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solidFill>
                <a:schemeClr val="tx1">
                  <a:lumMod val="65000"/>
                  <a:lumOff val="35000"/>
                </a:schemeClr>
              </a:solidFill>
            </a:rPr>
            <a:t>...and these products</a:t>
          </a:r>
          <a:r>
            <a:rPr lang="en-US" sz="1050" b="1" baseline="0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  <a:r>
            <a:rPr lang="en-US" sz="1050" b="1" baseline="0">
              <a:solidFill>
                <a:srgbClr val="C00000"/>
              </a:solidFill>
            </a:rPr>
            <a:t>caused losses</a:t>
          </a:r>
          <a:r>
            <a:rPr lang="en-US" sz="1050" b="1" baseline="0">
              <a:solidFill>
                <a:schemeClr val="tx1">
                  <a:lumMod val="65000"/>
                  <a:lumOff val="35000"/>
                </a:schemeClr>
              </a:solidFill>
            </a:rPr>
            <a:t>.</a:t>
          </a:r>
          <a:endParaRPr lang="en-US" sz="105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13</xdr:col>
      <xdr:colOff>857250</xdr:colOff>
      <xdr:row>0</xdr:row>
      <xdr:rowOff>35353</xdr:rowOff>
    </xdr:from>
    <xdr:to>
      <xdr:col>16</xdr:col>
      <xdr:colOff>121368</xdr:colOff>
      <xdr:row>5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680987-91A9-4331-5030-399187426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35353"/>
          <a:ext cx="2426418" cy="926672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7</xdr:row>
      <xdr:rowOff>0</xdr:rowOff>
    </xdr:from>
    <xdr:to>
      <xdr:col>12</xdr:col>
      <xdr:colOff>152400</xdr:colOff>
      <xdr:row>27</xdr:row>
      <xdr:rowOff>133350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12A6A0D-3703-964C-F2E2-180387D16E51}"/>
            </a:ext>
          </a:extLst>
        </xdr:cNvPr>
        <xdr:cNvGrpSpPr/>
      </xdr:nvGrpSpPr>
      <xdr:grpSpPr>
        <a:xfrm>
          <a:off x="3638550" y="1333500"/>
          <a:ext cx="4695825" cy="3981450"/>
          <a:chOff x="2695575" y="1162050"/>
          <a:chExt cx="5029200" cy="3981450"/>
        </a:xfrm>
      </xdr:grpSpPr>
      <xdr:graphicFrame macro="">
        <xdr:nvGraphicFramePr>
          <xdr:cNvPr id="31" name="Chart 10">
            <a:extLst>
              <a:ext uri="{FF2B5EF4-FFF2-40B4-BE49-F238E27FC236}">
                <a16:creationId xmlns:a16="http://schemas.microsoft.com/office/drawing/2014/main" id="{9069FE71-3177-782D-5AF5-C681F0869556}"/>
              </a:ext>
            </a:extLst>
          </xdr:cNvPr>
          <xdr:cNvGraphicFramePr/>
        </xdr:nvGraphicFramePr>
        <xdr:xfrm>
          <a:off x="2695575" y="1162050"/>
          <a:ext cx="3329598" cy="3981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2" name="Chart 3">
            <a:extLst>
              <a:ext uri="{FF2B5EF4-FFF2-40B4-BE49-F238E27FC236}">
                <a16:creationId xmlns:a16="http://schemas.microsoft.com/office/drawing/2014/main" id="{3D20C7EB-C7E5-4EF8-CED5-39C86E534F10}"/>
              </a:ext>
            </a:extLst>
          </xdr:cNvPr>
          <xdr:cNvGraphicFramePr/>
        </xdr:nvGraphicFramePr>
        <xdr:xfrm>
          <a:off x="5140325" y="1162050"/>
          <a:ext cx="2584450" cy="3981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0</xdr:col>
      <xdr:colOff>152400</xdr:colOff>
      <xdr:row>5</xdr:row>
      <xdr:rowOff>123825</xdr:rowOff>
    </xdr:from>
    <xdr:to>
      <xdr:col>2</xdr:col>
      <xdr:colOff>1340042</xdr:colOff>
      <xdr:row>14</xdr:row>
      <xdr:rowOff>85725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B9FBF4FA-B2E8-0FED-351D-9208CFF48DA0}"/>
            </a:ext>
          </a:extLst>
        </xdr:cNvPr>
        <xdr:cNvGrpSpPr/>
      </xdr:nvGrpSpPr>
      <xdr:grpSpPr>
        <a:xfrm>
          <a:off x="152400" y="1076325"/>
          <a:ext cx="2778317" cy="1743075"/>
          <a:chOff x="548238" y="1028700"/>
          <a:chExt cx="2778317" cy="174307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553C349-480A-A463-2D84-9C11A10BA3A4}"/>
              </a:ext>
            </a:extLst>
          </xdr:cNvPr>
          <xdr:cNvSpPr txBox="1"/>
        </xdr:nvSpPr>
        <xdr:spPr>
          <a:xfrm>
            <a:off x="548238" y="1028700"/>
            <a:ext cx="2778317" cy="304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>
                <a:solidFill>
                  <a:schemeClr val="bg2">
                    <a:lumMod val="75000"/>
                  </a:schemeClr>
                </a:solidFill>
              </a:rPr>
              <a:t>This was the </a:t>
            </a:r>
            <a:r>
              <a:rPr lang="en-US" sz="1200" b="1">
                <a:solidFill>
                  <a:schemeClr val="accent5">
                    <a:lumMod val="50000"/>
                  </a:schemeClr>
                </a:solidFill>
              </a:rPr>
              <a:t>revenue</a:t>
            </a:r>
            <a:r>
              <a:rPr lang="en-US" sz="1100" b="1" baseline="0">
                <a:solidFill>
                  <a:schemeClr val="bg2">
                    <a:lumMod val="75000"/>
                  </a:schemeClr>
                </a:solidFill>
              </a:rPr>
              <a:t> we drove</a:t>
            </a:r>
            <a:r>
              <a:rPr lang="en-US" sz="11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in...</a:t>
            </a:r>
            <a:endParaRPr lang="en-US" sz="11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'Data Prep'!$E$2">
        <xdr:nvSpPr>
          <xdr:cNvPr id="25" name="TextBox 24">
            <a:extLst>
              <a:ext uri="{FF2B5EF4-FFF2-40B4-BE49-F238E27FC236}">
                <a16:creationId xmlns:a16="http://schemas.microsoft.com/office/drawing/2014/main" id="{DB61F2EF-0231-4D2A-A067-8C399E9B104A}"/>
              </a:ext>
            </a:extLst>
          </xdr:cNvPr>
          <xdr:cNvSpPr txBox="1"/>
        </xdr:nvSpPr>
        <xdr:spPr>
          <a:xfrm>
            <a:off x="774956" y="1171514"/>
            <a:ext cx="2324881" cy="7811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2E15FFD3-87A8-41A9-B552-8DE2550CC271}" type="TxLink">
              <a:rPr lang="en-US" sz="4400" b="1" i="0" u="none" strike="noStrike">
                <a:solidFill>
                  <a:srgbClr val="002060"/>
                </a:solidFill>
                <a:latin typeface="Calibri"/>
                <a:ea typeface="Calibri"/>
                <a:cs typeface="Calibri"/>
              </a:rPr>
              <a:t>$61,704</a:t>
            </a:fld>
            <a:endParaRPr lang="en-US" sz="8800" b="1">
              <a:solidFill>
                <a:srgbClr val="002060"/>
              </a:solidFill>
            </a:endParaRPr>
          </a:p>
        </xdr:txBody>
      </xdr: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2FD916FF-3ACB-2D36-DB77-4EB0486D26E8}"/>
              </a:ext>
            </a:extLst>
          </xdr:cNvPr>
          <xdr:cNvGrpSpPr/>
        </xdr:nvGrpSpPr>
        <xdr:grpSpPr>
          <a:xfrm>
            <a:off x="570066" y="1990725"/>
            <a:ext cx="2734661" cy="781050"/>
            <a:chOff x="334361" y="2095500"/>
            <a:chExt cx="2734661" cy="781050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2A376C2-E4B2-C305-6ABA-BAB52BD40E13}"/>
                </a:ext>
              </a:extLst>
            </xdr:cNvPr>
            <xdr:cNvSpPr txBox="1"/>
          </xdr:nvSpPr>
          <xdr:spPr>
            <a:xfrm>
              <a:off x="435359" y="2533650"/>
              <a:ext cx="1276350" cy="3429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vs.</a:t>
              </a:r>
              <a:r>
                <a:rPr lang="en-US" sz="120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Last Month</a:t>
              </a:r>
              <a:endParaRPr lang="en-US" sz="12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03950F6-EB9F-EEFB-FA57-B35C3DC70C42}"/>
                </a:ext>
              </a:extLst>
            </xdr:cNvPr>
            <xdr:cNvSpPr txBox="1"/>
          </xdr:nvSpPr>
          <xdr:spPr>
            <a:xfrm>
              <a:off x="1691673" y="2533650"/>
              <a:ext cx="1276350" cy="3048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200" b="1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vs.</a:t>
              </a:r>
              <a:r>
                <a:rPr lang="en-US" sz="1200" b="1" baseline="0">
                  <a:solidFill>
                    <a:schemeClr val="tx1">
                      <a:lumMod val="65000"/>
                      <a:lumOff val="35000"/>
                    </a:schemeClr>
                  </a:solidFill>
                </a:rPr>
                <a:t> Last Year</a:t>
              </a:r>
              <a:endParaRPr lang="en-US" sz="1200" b="1">
                <a:solidFill>
                  <a:schemeClr val="tx1">
                    <a:lumMod val="65000"/>
                    <a:lumOff val="35000"/>
                  </a:schemeClr>
                </a:solidFill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8" name="Picture 27">
                  <a:extLst>
                    <a:ext uri="{FF2B5EF4-FFF2-40B4-BE49-F238E27FC236}">
                      <a16:creationId xmlns:a16="http://schemas.microsoft.com/office/drawing/2014/main" id="{15492D6E-5023-4FF6-A949-383269006557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Data Prep'!$E$5" spid="_x0000_s5182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590675" y="2095500"/>
                  <a:ext cx="1478347" cy="4572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9" name="Picture 28">
                  <a:extLst>
                    <a:ext uri="{FF2B5EF4-FFF2-40B4-BE49-F238E27FC236}">
                      <a16:creationId xmlns:a16="http://schemas.microsoft.com/office/drawing/2014/main" id="{C95009C0-0C58-4E13-9410-461DD52E918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Data Prep'!$E$6" spid="_x0000_s5183"/>
                    </a:ext>
                  </a:extLst>
                </xdr:cNvPicPr>
              </xdr:nvPicPr>
              <xdr:blipFill>
                <a:blip xmlns:r="http://schemas.openxmlformats.org/officeDocument/2006/relationships" r:embed="rId6"/>
                <a:srcRect/>
                <a:stretch>
                  <a:fillRect/>
                </a:stretch>
              </xdr:blipFill>
              <xdr:spPr bwMode="auto">
                <a:xfrm>
                  <a:off x="334361" y="2095500"/>
                  <a:ext cx="1478347" cy="457200"/>
                </a:xfrm>
                <a:prstGeom prst="rect">
                  <a:avLst/>
                </a:prstGeom>
                <a:noFill/>
              </xdr:spPr>
            </xdr:pic>
          </mc:Choice>
          <mc:Fallback/>
        </mc:AlternateContent>
      </xdr:grpSp>
    </xdr:grp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967142</xdr:colOff>
      <xdr:row>10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3E77BD5-8DD3-DEC2-E771-3DCDFF63CE9A}"/>
            </a:ext>
          </a:extLst>
        </xdr:cNvPr>
        <xdr:cNvCxnSpPr/>
      </xdr:nvCxnSpPr>
      <xdr:spPr>
        <a:xfrm flipH="1">
          <a:off x="314325" y="1933575"/>
          <a:ext cx="2243492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0</xdr:colOff>
      <xdr:row>14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F6F1EE9-9829-A899-EAD0-0ADFC06236D1}"/>
            </a:ext>
          </a:extLst>
        </xdr:cNvPr>
        <xdr:cNvCxnSpPr/>
      </xdr:nvCxnSpPr>
      <xdr:spPr>
        <a:xfrm>
          <a:off x="1590675" y="1933575"/>
          <a:ext cx="0" cy="800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78260-E4C7-4766-8F90-CD270BEC45ED}" name="Data" displayName="Data" ref="A1:J4795" totalsRowShown="0" headerRowDxfId="6">
  <autoFilter ref="A1:J4795" xr:uid="{6AE78260-E4C7-4766-8F90-CD270BEC45ED}">
    <filterColumn colId="0">
      <filters>
        <filter val="2021"/>
      </filters>
    </filterColumn>
    <filterColumn colId="1">
      <filters>
        <filter val="6"/>
      </filters>
    </filterColumn>
  </autoFilter>
  <tableColumns count="10">
    <tableColumn id="1" xr3:uid="{3C91029D-8E1A-47E9-BCD9-533AF17702C8}" name="Year"/>
    <tableColumn id="2" xr3:uid="{6A89C9C5-01FD-45D7-8018-0FBF799D98CE}" name="Month"/>
    <tableColumn id="3" xr3:uid="{99A6E9C3-2B99-46FE-8834-1F93B8CF73C5}" name="Store Name"/>
    <tableColumn id="4" xr3:uid="{4F7CDE82-54DC-49BC-A4D1-33ED710CB662}" name="Region"/>
    <tableColumn id="5" xr3:uid="{6585DBBD-8A4C-4476-9BFD-A313D9B776F3}" name="Store Type"/>
    <tableColumn id="6" xr3:uid="{C158BC86-E526-443D-9AB8-7E4FD28B888A}" name="Product Name"/>
    <tableColumn id="7" xr3:uid="{F79A3CD3-58EE-4D02-81FA-FD589543A66C}" name="Product Category"/>
    <tableColumn id="8" xr3:uid="{248D253B-B7C4-466F-B2F0-AECC560F255A}" name="Units Sold"/>
    <tableColumn id="9" xr3:uid="{2EF5B39D-AF01-4A42-86D9-3318CA8B44C3}" name="Revenue" dataDxfId="5"/>
    <tableColumn id="10" xr3:uid="{ACA7EA5A-3C6D-49C1-9952-04E2C3D15CF3}" name="Profit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showGridLines="0" topLeftCell="A4521" zoomScaleNormal="100" workbookViewId="0">
      <selection activeCell="A4536" sqref="A4536:J4795"/>
    </sheetView>
  </sheetViews>
  <sheetFormatPr defaultRowHeight="15" x14ac:dyDescent="0.25"/>
  <cols>
    <col min="1" max="1" width="7.140625" customWidth="1"/>
    <col min="2" max="2" width="9.140625" customWidth="1"/>
    <col min="3" max="3" width="14.28515625" customWidth="1"/>
    <col min="4" max="4" width="15" customWidth="1"/>
    <col min="5" max="5" width="16.28515625" customWidth="1"/>
    <col min="6" max="6" width="20.42578125" bestFit="1" customWidth="1"/>
    <col min="7" max="7" width="18.85546875" customWidth="1"/>
    <col min="8" max="8" width="12.140625" customWidth="1"/>
    <col min="9" max="9" width="11" customWidth="1"/>
    <col min="12" max="13" width="11.42578125" bestFit="1" customWidth="1"/>
    <col min="16" max="16" width="15.42578125" bestFit="1" customWidth="1"/>
    <col min="18" max="18" width="18.28515625" bestFit="1" customWidth="1"/>
    <col min="27" max="27" width="14.28515625" customWidth="1"/>
    <col min="28" max="28" width="11.42578125" customWidth="1"/>
    <col min="32" max="33" width="14.28515625" customWidth="1"/>
    <col min="34" max="34" width="11.42578125" customWidth="1"/>
    <col min="37" max="37" width="12.28515625" bestFit="1" customWidth="1"/>
    <col min="38" max="38" width="17.7109375" bestFit="1" customWidth="1"/>
    <col min="48" max="49" width="14.28515625" customWidth="1"/>
    <col min="50" max="50" width="17.42578125" bestFit="1" customWidth="1"/>
    <col min="51" max="51" width="11.42578125" customWidth="1"/>
  </cols>
  <sheetData>
    <row r="1" spans="1:51" x14ac:dyDescent="0.25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hidden="1" x14ac:dyDescent="0.25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hidden="1" x14ac:dyDescent="0.25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>_xlfn.XLOOKUP(AW3,C:C,D:D)</f>
        <v>Los Angeles</v>
      </c>
      <c r="AW3" t="s">
        <v>56</v>
      </c>
      <c r="AX3" t="s">
        <v>14</v>
      </c>
      <c r="AY3" s="3">
        <f>SUMIFS(I:I,D:D,_xlfn.SINGLE(Region),C:C,AW3,G:G,AX3,A:A,_xlfn.SINGLE(CurYear),B:B,_xlfn.SINGLE(CurMonth))</f>
        <v>0</v>
      </c>
    </row>
    <row r="4" spans="1:51" hidden="1" x14ac:dyDescent="0.25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>_xlfn.XLOOKUP(AW4,C:C,D:D)</f>
        <v>Los Angeles</v>
      </c>
      <c r="AW4" t="s">
        <v>56</v>
      </c>
      <c r="AX4" t="s">
        <v>9</v>
      </c>
      <c r="AY4" s="3">
        <f>SUMIFS(I:I,D:D,_xlfn.SINGLE(Region),C:C,AW4,G:G,AX4,A:A,_xlfn.SINGLE(CurYear),B:B,_xlfn.SINGLE(CurMonth))</f>
        <v>0</v>
      </c>
    </row>
    <row r="5" spans="1:51" hidden="1" x14ac:dyDescent="0.25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>_xlfn.XLOOKUP(AW5,C:C,D:D)</f>
        <v>Los Angeles</v>
      </c>
      <c r="AW5" t="s">
        <v>56</v>
      </c>
      <c r="AX5" t="s">
        <v>21</v>
      </c>
      <c r="AY5" s="3">
        <f>SUMIFS(I:I,D:D,_xlfn.SINGLE(Region),C:C,AW5,G:G,AX5,A:A,_xlfn.SINGLE(CurYear),B:B,_xlfn.SINGLE(CurMonth))</f>
        <v>0</v>
      </c>
    </row>
    <row r="6" spans="1:51" hidden="1" x14ac:dyDescent="0.25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>_xlfn.XLOOKUP(AW6,C:C,D:D)</f>
        <v>Los Angeles</v>
      </c>
      <c r="AW6" t="s">
        <v>56</v>
      </c>
      <c r="AX6" t="s">
        <v>7</v>
      </c>
      <c r="AY6" s="3">
        <f>SUMIFS(I:I,D:D,_xlfn.SINGLE(Region),C:C,AW6,G:G,AX6,A:A,_xlfn.SINGLE(CurYear),B:B,_xlfn.SINGLE(CurMonth))</f>
        <v>0</v>
      </c>
    </row>
    <row r="7" spans="1:51" hidden="1" x14ac:dyDescent="0.25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>_xlfn.XLOOKUP(AW7,C:C,D:D)</f>
        <v>Los Angeles</v>
      </c>
      <c r="AW7" t="s">
        <v>56</v>
      </c>
      <c r="AX7" t="s">
        <v>12</v>
      </c>
      <c r="AY7" s="3">
        <f>SUMIFS(I:I,D:D,_xlfn.SINGLE(Region),C:C,AW7,G:G,AX7,A:A,_xlfn.SINGLE(CurYear),B:B,_xlfn.SINGLE(CurMonth))</f>
        <v>0</v>
      </c>
    </row>
    <row r="8" spans="1:51" hidden="1" x14ac:dyDescent="0.25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>_xlfn.XLOOKUP(AW8,C:C,D:D)</f>
        <v>New York</v>
      </c>
      <c r="AW8" t="s">
        <v>58</v>
      </c>
      <c r="AX8" t="s">
        <v>14</v>
      </c>
      <c r="AY8" s="3">
        <f>SUMIFS(I:I,D:D,_xlfn.SINGLE(Region),C:C,AW8,G:G,AX8,A:A,_xlfn.SINGLE(CurYear),B:B,_xlfn.SINGLE(CurMonth))</f>
        <v>0</v>
      </c>
    </row>
    <row r="9" spans="1:51" hidden="1" x14ac:dyDescent="0.25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>_xlfn.XLOOKUP(AW9,C:C,D:D)</f>
        <v>New York</v>
      </c>
      <c r="AW9" t="s">
        <v>58</v>
      </c>
      <c r="AX9" t="s">
        <v>9</v>
      </c>
      <c r="AY9" s="3">
        <f>SUMIFS(I:I,D:D,_xlfn.SINGLE(Region),C:C,AW9,G:G,AX9,A:A,_xlfn.SINGLE(CurYear),B:B,_xlfn.SINGLE(CurMonth))</f>
        <v>0</v>
      </c>
    </row>
    <row r="10" spans="1:51" hidden="1" x14ac:dyDescent="0.25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>_xlfn.XLOOKUP(AW10,C:C,D:D)</f>
        <v>New York</v>
      </c>
      <c r="AW10" t="s">
        <v>58</v>
      </c>
      <c r="AX10" t="s">
        <v>21</v>
      </c>
      <c r="AY10" s="3">
        <f>SUMIFS(I:I,D:D,_xlfn.SINGLE(Region),C:C,AW10,G:G,AX10,A:A,_xlfn.SINGLE(CurYear),B:B,_xlfn.SINGLE(CurMonth))</f>
        <v>0</v>
      </c>
    </row>
    <row r="11" spans="1:51" hidden="1" x14ac:dyDescent="0.25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>_xlfn.XLOOKUP(AW11,C:C,D:D)</f>
        <v>New York</v>
      </c>
      <c r="AW11" t="s">
        <v>58</v>
      </c>
      <c r="AX11" t="s">
        <v>7</v>
      </c>
      <c r="AY11" s="3">
        <f>SUMIFS(I:I,D:D,_xlfn.SINGLE(Region),C:C,AW11,G:G,AX11,A:A,_xlfn.SINGLE(CurYear),B:B,_xlfn.SINGLE(CurMonth))</f>
        <v>0</v>
      </c>
    </row>
    <row r="12" spans="1:51" hidden="1" x14ac:dyDescent="0.25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>_xlfn.XLOOKUP(AW12,C:C,D:D)</f>
        <v>New York</v>
      </c>
      <c r="AW12" t="s">
        <v>58</v>
      </c>
      <c r="AX12" t="s">
        <v>12</v>
      </c>
      <c r="AY12" s="3">
        <f>SUMIFS(I:I,D:D,_xlfn.SINGLE(Region),C:C,AW12,G:G,AX12,A:A,_xlfn.SINGLE(CurYear),B:B,_xlfn.SINGLE(CurMonth))</f>
        <v>0</v>
      </c>
    </row>
    <row r="13" spans="1:51" hidden="1" x14ac:dyDescent="0.25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>_xlfn.XLOOKUP(AW13,C:C,D:D)</f>
        <v>Los Angeles</v>
      </c>
      <c r="AW13" t="s">
        <v>59</v>
      </c>
      <c r="AX13" t="s">
        <v>14</v>
      </c>
      <c r="AY13" s="3">
        <f>SUMIFS(I:I,D:D,_xlfn.SINGLE(Region),C:C,AW13,G:G,AX13,A:A,_xlfn.SINGLE(CurYear),B:B,_xlfn.SINGLE(CurMonth))</f>
        <v>0</v>
      </c>
    </row>
    <row r="14" spans="1:51" hidden="1" x14ac:dyDescent="0.25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>_xlfn.XLOOKUP(AW14,C:C,D:D)</f>
        <v>Los Angeles</v>
      </c>
      <c r="AW14" t="s">
        <v>59</v>
      </c>
      <c r="AX14" t="s">
        <v>9</v>
      </c>
      <c r="AY14" s="3">
        <f>SUMIFS(I:I,D:D,_xlfn.SINGLE(Region),C:C,AW14,G:G,AX14,A:A,_xlfn.SINGLE(CurYear),B:B,_xlfn.SINGLE(CurMonth))</f>
        <v>0</v>
      </c>
    </row>
    <row r="15" spans="1:51" hidden="1" x14ac:dyDescent="0.25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>_xlfn.XLOOKUP(AW15,C:C,D:D)</f>
        <v>Los Angeles</v>
      </c>
      <c r="AW15" t="s">
        <v>59</v>
      </c>
      <c r="AX15" t="s">
        <v>21</v>
      </c>
      <c r="AY15" s="3">
        <f>SUMIFS(I:I,D:D,_xlfn.SINGLE(Region),C:C,AW15,G:G,AX15,A:A,_xlfn.SINGLE(CurYear),B:B,_xlfn.SINGLE(CurMonth))</f>
        <v>0</v>
      </c>
    </row>
    <row r="16" spans="1:51" hidden="1" x14ac:dyDescent="0.25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>_xlfn.XLOOKUP(AW16,C:C,D:D)</f>
        <v>Los Angeles</v>
      </c>
      <c r="AW16" t="s">
        <v>59</v>
      </c>
      <c r="AX16" t="s">
        <v>7</v>
      </c>
      <c r="AY16" s="3">
        <f>SUMIFS(I:I,D:D,_xlfn.SINGLE(Region),C:C,AW16,G:G,AX16,A:A,_xlfn.SINGLE(CurYear),B:B,_xlfn.SINGLE(CurMonth))</f>
        <v>0</v>
      </c>
    </row>
    <row r="17" spans="1:51" hidden="1" x14ac:dyDescent="0.25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>_xlfn.XLOOKUP(AW17,C:C,D:D)</f>
        <v>Los Angeles</v>
      </c>
      <c r="AW17" t="s">
        <v>59</v>
      </c>
      <c r="AX17" t="s">
        <v>12</v>
      </c>
      <c r="AY17" s="3">
        <f>SUMIFS(I:I,D:D,_xlfn.SINGLE(Region),C:C,AW17,G:G,AX17,A:A,_xlfn.SINGLE(CurYear),B:B,_xlfn.SINGLE(CurMonth))</f>
        <v>0</v>
      </c>
    </row>
    <row r="18" spans="1:51" hidden="1" x14ac:dyDescent="0.25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>_xlfn.XLOOKUP(AW18,C:C,D:D)</f>
        <v>New York</v>
      </c>
      <c r="AW18" t="s">
        <v>60</v>
      </c>
      <c r="AX18" t="s">
        <v>14</v>
      </c>
      <c r="AY18" s="3">
        <f>SUMIFS(I:I,D:D,_xlfn.SINGLE(Region),C:C,AW18,G:G,AX18,A:A,_xlfn.SINGLE(CurYear),B:B,_xlfn.SINGLE(CurMonth))</f>
        <v>0</v>
      </c>
    </row>
    <row r="19" spans="1:51" hidden="1" x14ac:dyDescent="0.25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>_xlfn.XLOOKUP(AW19,C:C,D:D)</f>
        <v>New York</v>
      </c>
      <c r="AW19" t="s">
        <v>60</v>
      </c>
      <c r="AX19" t="s">
        <v>9</v>
      </c>
      <c r="AY19" s="3">
        <f>SUMIFS(I:I,D:D,_xlfn.SINGLE(Region),C:C,AW19,G:G,AX19,A:A,_xlfn.SINGLE(CurYear),B:B,_xlfn.SINGLE(CurMonth))</f>
        <v>0</v>
      </c>
    </row>
    <row r="20" spans="1:51" hidden="1" x14ac:dyDescent="0.25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>_xlfn.XLOOKUP(AW20,C:C,D:D)</f>
        <v>New York</v>
      </c>
      <c r="AW20" t="s">
        <v>60</v>
      </c>
      <c r="AX20" t="s">
        <v>21</v>
      </c>
      <c r="AY20" s="3">
        <f>SUMIFS(I:I,D:D,_xlfn.SINGLE(Region),C:C,AW20,G:G,AX20,A:A,_xlfn.SINGLE(CurYear),B:B,_xlfn.SINGLE(CurMonth))</f>
        <v>0</v>
      </c>
    </row>
    <row r="21" spans="1:51" hidden="1" x14ac:dyDescent="0.25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>_xlfn.XLOOKUP(AW21,C:C,D:D)</f>
        <v>New York</v>
      </c>
      <c r="AW21" t="s">
        <v>60</v>
      </c>
      <c r="AX21" t="s">
        <v>7</v>
      </c>
      <c r="AY21" s="3">
        <f>SUMIFS(I:I,D:D,_xlfn.SINGLE(Region),C:C,AW21,G:G,AX21,A:A,_xlfn.SINGLE(CurYear),B:B,_xlfn.SINGLE(CurMonth))</f>
        <v>0</v>
      </c>
    </row>
    <row r="22" spans="1:51" hidden="1" x14ac:dyDescent="0.25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>_xlfn.XLOOKUP(AW22,C:C,D:D)</f>
        <v>New York</v>
      </c>
      <c r="AW22" t="s">
        <v>60</v>
      </c>
      <c r="AX22" t="s">
        <v>12</v>
      </c>
      <c r="AY22" s="3">
        <f>SUMIFS(I:I,D:D,_xlfn.SINGLE(Region),C:C,AW22,G:G,AX22,A:A,_xlfn.SINGLE(CurYear),B:B,_xlfn.SINGLE(CurMonth))</f>
        <v>0</v>
      </c>
    </row>
    <row r="23" spans="1:51" hidden="1" x14ac:dyDescent="0.25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>_xlfn.XLOOKUP(AW23,C:C,D:D)</f>
        <v>Los Angeles</v>
      </c>
      <c r="AW23" t="s">
        <v>61</v>
      </c>
      <c r="AX23" t="s">
        <v>14</v>
      </c>
      <c r="AY23" s="3">
        <f>SUMIFS(I:I,D:D,_xlfn.SINGLE(Region),C:C,AW23,G:G,AX23,A:A,_xlfn.SINGLE(CurYear),B:B,_xlfn.SINGLE(CurMonth))</f>
        <v>0</v>
      </c>
    </row>
    <row r="24" spans="1:51" hidden="1" x14ac:dyDescent="0.25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>_xlfn.XLOOKUP(AW24,C:C,D:D)</f>
        <v>Los Angeles</v>
      </c>
      <c r="AW24" t="s">
        <v>61</v>
      </c>
      <c r="AX24" t="s">
        <v>9</v>
      </c>
      <c r="AY24" s="3">
        <f>SUMIFS(I:I,D:D,_xlfn.SINGLE(Region),C:C,AW24,G:G,AX24,A:A,_xlfn.SINGLE(CurYear),B:B,_xlfn.SINGLE(CurMonth))</f>
        <v>0</v>
      </c>
    </row>
    <row r="25" spans="1:51" hidden="1" x14ac:dyDescent="0.25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>_xlfn.XLOOKUP(AW25,C:C,D:D)</f>
        <v>Los Angeles</v>
      </c>
      <c r="AW25" t="s">
        <v>61</v>
      </c>
      <c r="AX25" t="s">
        <v>21</v>
      </c>
      <c r="AY25" s="3">
        <f>SUMIFS(I:I,D:D,_xlfn.SINGLE(Region),C:C,AW25,G:G,AX25,A:A,_xlfn.SINGLE(CurYear),B:B,_xlfn.SINGLE(CurMonth))</f>
        <v>0</v>
      </c>
    </row>
    <row r="26" spans="1:51" hidden="1" x14ac:dyDescent="0.25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>_xlfn.XLOOKUP(AW26,C:C,D:D)</f>
        <v>Los Angeles</v>
      </c>
      <c r="AW26" t="s">
        <v>61</v>
      </c>
      <c r="AX26" t="s">
        <v>7</v>
      </c>
      <c r="AY26" s="3">
        <f>SUMIFS(I:I,D:D,_xlfn.SINGLE(Region),C:C,AW26,G:G,AX26,A:A,_xlfn.SINGLE(CurYear),B:B,_xlfn.SINGLE(CurMonth))</f>
        <v>0</v>
      </c>
    </row>
    <row r="27" spans="1:51" hidden="1" x14ac:dyDescent="0.25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>_xlfn.XLOOKUP(AW27,C:C,D:D)</f>
        <v>Los Angeles</v>
      </c>
      <c r="AW27" t="s">
        <v>61</v>
      </c>
      <c r="AX27" t="s">
        <v>12</v>
      </c>
      <c r="AY27" s="3">
        <f>SUMIFS(I:I,D:D,_xlfn.SINGLE(Region),C:C,AW27,G:G,AX27,A:A,_xlfn.SINGLE(CurYear),B:B,_xlfn.SINGLE(CurMonth))</f>
        <v>0</v>
      </c>
    </row>
    <row r="28" spans="1:51" hidden="1" x14ac:dyDescent="0.25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>_xlfn.XLOOKUP(AW28,C:C,D:D)</f>
        <v>Chicago</v>
      </c>
      <c r="AW28" t="s">
        <v>53</v>
      </c>
      <c r="AX28" t="s">
        <v>14</v>
      </c>
      <c r="AY28" s="3">
        <f>SUMIFS(I:I,D:D,_xlfn.SINGLE(Region),C:C,AW28,G:G,AX28,A:A,_xlfn.SINGLE(CurYear),B:B,_xlfn.SINGLE(CurMonth))</f>
        <v>5055.58</v>
      </c>
    </row>
    <row r="29" spans="1:51" hidden="1" x14ac:dyDescent="0.25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>_xlfn.XLOOKUP(AW29,C:C,D:D)</f>
        <v>Chicago</v>
      </c>
      <c r="AW29" t="s">
        <v>53</v>
      </c>
      <c r="AX29" t="s">
        <v>9</v>
      </c>
      <c r="AY29" s="3">
        <f>SUMIFS(I:I,D:D,_xlfn.SINGLE(Region),C:C,AW29,G:G,AX29,A:A,_xlfn.SINGLE(CurYear),B:B,_xlfn.SINGLE(CurMonth))</f>
        <v>1763.7600000000002</v>
      </c>
    </row>
    <row r="30" spans="1:51" hidden="1" x14ac:dyDescent="0.25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>_xlfn.XLOOKUP(AW30,C:C,D:D)</f>
        <v>Chicago</v>
      </c>
      <c r="AW30" t="s">
        <v>53</v>
      </c>
      <c r="AX30" t="s">
        <v>21</v>
      </c>
      <c r="AY30" s="3">
        <f>SUMIFS(I:I,D:D,_xlfn.SINGLE(Region),C:C,AW30,G:G,AX30,A:A,_xlfn.SINGLE(CurYear),B:B,_xlfn.SINGLE(CurMonth))</f>
        <v>410.73</v>
      </c>
    </row>
    <row r="31" spans="1:51" hidden="1" x14ac:dyDescent="0.25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>_xlfn.XLOOKUP(AW31,C:C,D:D)</f>
        <v>Chicago</v>
      </c>
      <c r="AW31" t="s">
        <v>53</v>
      </c>
      <c r="AX31" t="s">
        <v>7</v>
      </c>
      <c r="AY31" s="3">
        <f>SUMIFS(I:I,D:D,_xlfn.SINGLE(Region),C:C,AW31,G:G,AX31,A:A,_xlfn.SINGLE(CurYear),B:B,_xlfn.SINGLE(CurMonth))</f>
        <v>4511.3499999999995</v>
      </c>
    </row>
    <row r="32" spans="1:51" hidden="1" x14ac:dyDescent="0.25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>_xlfn.XLOOKUP(AW32,C:C,D:D)</f>
        <v>Chicago</v>
      </c>
      <c r="AW32" t="s">
        <v>53</v>
      </c>
      <c r="AX32" t="s">
        <v>12</v>
      </c>
      <c r="AY32" s="3">
        <f>SUMIFS(I:I,D:D,_xlfn.SINGLE(Region),C:C,AW32,G:G,AX32,A:A,_xlfn.SINGLE(CurYear),B:B,_xlfn.SINGLE(CurMonth))</f>
        <v>5763.91</v>
      </c>
    </row>
    <row r="33" spans="1:51" hidden="1" x14ac:dyDescent="0.25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>_xlfn.XLOOKUP(AW33,C:C,D:D)</f>
        <v>Chicago</v>
      </c>
      <c r="AW33" t="s">
        <v>54</v>
      </c>
      <c r="AX33" t="s">
        <v>14</v>
      </c>
      <c r="AY33" s="3">
        <f>SUMIFS(I:I,D:D,_xlfn.SINGLE(Region),C:C,AW33,G:G,AX33,A:A,_xlfn.SINGLE(CurYear),B:B,_xlfn.SINGLE(CurMonth))</f>
        <v>2668.9599999999996</v>
      </c>
    </row>
    <row r="34" spans="1:51" hidden="1" x14ac:dyDescent="0.25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>_xlfn.XLOOKUP(AW34,C:C,D:D)</f>
        <v>Chicago</v>
      </c>
      <c r="AW34" t="s">
        <v>54</v>
      </c>
      <c r="AX34" t="s">
        <v>9</v>
      </c>
      <c r="AY34" s="3">
        <f>SUMIFS(I:I,D:D,_xlfn.SINGLE(Region),C:C,AW34,G:G,AX34,A:A,_xlfn.SINGLE(CurYear),B:B,_xlfn.SINGLE(CurMonth))</f>
        <v>670.32999999999993</v>
      </c>
    </row>
    <row r="35" spans="1:51" hidden="1" x14ac:dyDescent="0.25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>_xlfn.XLOOKUP(AW35,C:C,D:D)</f>
        <v>Chicago</v>
      </c>
      <c r="AW35" t="s">
        <v>54</v>
      </c>
      <c r="AX35" t="s">
        <v>21</v>
      </c>
      <c r="AY35" s="3">
        <f>SUMIFS(I:I,D:D,_xlfn.SINGLE(Region),C:C,AW35,G:G,AX35,A:A,_xlfn.SINGLE(CurYear),B:B,_xlfn.SINGLE(CurMonth))</f>
        <v>1167.46</v>
      </c>
    </row>
    <row r="36" spans="1:51" hidden="1" x14ac:dyDescent="0.25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>_xlfn.XLOOKUP(AW36,C:C,D:D)</f>
        <v>Chicago</v>
      </c>
      <c r="AW36" t="s">
        <v>54</v>
      </c>
      <c r="AX36" t="s">
        <v>7</v>
      </c>
      <c r="AY36" s="3">
        <f>SUMIFS(I:I,D:D,_xlfn.SINGLE(Region),C:C,AW36,G:G,AX36,A:A,_xlfn.SINGLE(CurYear),B:B,_xlfn.SINGLE(CurMonth))</f>
        <v>1687.94</v>
      </c>
    </row>
    <row r="37" spans="1:51" hidden="1" x14ac:dyDescent="0.25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>_xlfn.XLOOKUP(AW37,C:C,D:D)</f>
        <v>Chicago</v>
      </c>
      <c r="AW37" t="s">
        <v>54</v>
      </c>
      <c r="AX37" t="s">
        <v>12</v>
      </c>
      <c r="AY37" s="3">
        <f>SUMIFS(I:I,D:D,_xlfn.SINGLE(Region),C:C,AW37,G:G,AX37,A:A,_xlfn.SINGLE(CurYear),B:B,_xlfn.SINGLE(CurMonth))</f>
        <v>1527.1900000000003</v>
      </c>
    </row>
    <row r="38" spans="1:51" hidden="1" x14ac:dyDescent="0.25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>_xlfn.XLOOKUP(AW38,C:C,D:D)</f>
        <v>Chicago</v>
      </c>
      <c r="AW38" t="s">
        <v>55</v>
      </c>
      <c r="AX38" t="s">
        <v>14</v>
      </c>
      <c r="AY38" s="3">
        <f>SUMIFS(I:I,D:D,_xlfn.SINGLE(Region),C:C,AW38,G:G,AX38,A:A,_xlfn.SINGLE(CurYear),B:B,_xlfn.SINGLE(CurMonth))</f>
        <v>7720.47</v>
      </c>
    </row>
    <row r="39" spans="1:51" hidden="1" x14ac:dyDescent="0.25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>_xlfn.XLOOKUP(AW39,C:C,D:D)</f>
        <v>Chicago</v>
      </c>
      <c r="AW39" t="s">
        <v>55</v>
      </c>
      <c r="AX39" t="s">
        <v>9</v>
      </c>
      <c r="AY39" s="3">
        <f>SUMIFS(I:I,D:D,_xlfn.SINGLE(Region),C:C,AW39,G:G,AX39,A:A,_xlfn.SINGLE(CurYear),B:B,_xlfn.SINGLE(CurMonth))</f>
        <v>2448.1</v>
      </c>
    </row>
    <row r="40" spans="1:51" hidden="1" x14ac:dyDescent="0.25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>_xlfn.XLOOKUP(AW40,C:C,D:D)</f>
        <v>Chicago</v>
      </c>
      <c r="AW40" t="s">
        <v>55</v>
      </c>
      <c r="AX40" t="s">
        <v>21</v>
      </c>
      <c r="AY40" s="3">
        <f>SUMIFS(I:I,D:D,_xlfn.SINGLE(Region),C:C,AW40,G:G,AX40,A:A,_xlfn.SINGLE(CurYear),B:B,_xlfn.SINGLE(CurMonth))</f>
        <v>1145.3899999999999</v>
      </c>
    </row>
    <row r="41" spans="1:51" hidden="1" x14ac:dyDescent="0.25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>_xlfn.XLOOKUP(AW41,C:C,D:D)</f>
        <v>Chicago</v>
      </c>
      <c r="AW41" t="s">
        <v>55</v>
      </c>
      <c r="AX41" t="s">
        <v>7</v>
      </c>
      <c r="AY41" s="3">
        <f>SUMIFS(I:I,D:D,_xlfn.SINGLE(Region),C:C,AW41,G:G,AX41,A:A,_xlfn.SINGLE(CurYear),B:B,_xlfn.SINGLE(CurMonth))</f>
        <v>3276.5399999999995</v>
      </c>
    </row>
    <row r="42" spans="1:51" hidden="1" x14ac:dyDescent="0.25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>_xlfn.XLOOKUP(AW42,C:C,D:D)</f>
        <v>Chicago</v>
      </c>
      <c r="AW42" t="s">
        <v>55</v>
      </c>
      <c r="AX42" t="s">
        <v>12</v>
      </c>
      <c r="AY42" s="3">
        <f>SUMIFS(I:I,D:D,_xlfn.SINGLE(Region),C:C,AW42,G:G,AX42,A:A,_xlfn.SINGLE(CurYear),B:B,_xlfn.SINGLE(CurMonth))</f>
        <v>3647.96</v>
      </c>
    </row>
    <row r="43" spans="1:51" hidden="1" x14ac:dyDescent="0.25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>_xlfn.XLOOKUP(AW43,C:C,D:D)</f>
        <v>Chicago</v>
      </c>
      <c r="AW43" t="s">
        <v>57</v>
      </c>
      <c r="AX43" t="s">
        <v>14</v>
      </c>
      <c r="AY43" s="3">
        <f>SUMIFS(I:I,D:D,_xlfn.SINGLE(Region),C:C,AW43,G:G,AX43,A:A,_xlfn.SINGLE(CurYear),B:B,_xlfn.SINGLE(CurMonth))</f>
        <v>6228.18</v>
      </c>
    </row>
    <row r="44" spans="1:51" hidden="1" x14ac:dyDescent="0.25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>_xlfn.XLOOKUP(AW44,C:C,D:D)</f>
        <v>Chicago</v>
      </c>
      <c r="AW44" t="s">
        <v>57</v>
      </c>
      <c r="AX44" t="s">
        <v>9</v>
      </c>
      <c r="AY44" s="3">
        <f>SUMIFS(I:I,D:D,_xlfn.SINGLE(Region),C:C,AW44,G:G,AX44,A:A,_xlfn.SINGLE(CurYear),B:B,_xlfn.SINGLE(CurMonth))</f>
        <v>1918.3899999999999</v>
      </c>
    </row>
    <row r="45" spans="1:51" hidden="1" x14ac:dyDescent="0.25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>_xlfn.XLOOKUP(AW45,C:C,D:D)</f>
        <v>Chicago</v>
      </c>
      <c r="AW45" t="s">
        <v>57</v>
      </c>
      <c r="AX45" t="s">
        <v>21</v>
      </c>
      <c r="AY45" s="3">
        <f>SUMIFS(I:I,D:D,_xlfn.SINGLE(Region),C:C,AW45,G:G,AX45,A:A,_xlfn.SINGLE(CurYear),B:B,_xlfn.SINGLE(CurMonth))</f>
        <v>2114.83</v>
      </c>
    </row>
    <row r="46" spans="1:51" hidden="1" x14ac:dyDescent="0.25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>_xlfn.XLOOKUP(AW46,C:C,D:D)</f>
        <v>Chicago</v>
      </c>
      <c r="AW46" t="s">
        <v>57</v>
      </c>
      <c r="AX46" t="s">
        <v>7</v>
      </c>
      <c r="AY46" s="3">
        <f>SUMIFS(I:I,D:D,_xlfn.SINGLE(Region),C:C,AW46,G:G,AX46,A:A,_xlfn.SINGLE(CurYear),B:B,_xlfn.SINGLE(CurMonth))</f>
        <v>4648.62</v>
      </c>
    </row>
    <row r="47" spans="1:51" hidden="1" x14ac:dyDescent="0.25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>_xlfn.XLOOKUP(AW47,C:C,D:D)</f>
        <v>Chicago</v>
      </c>
      <c r="AW47" t="s">
        <v>57</v>
      </c>
      <c r="AX47" t="s">
        <v>12</v>
      </c>
      <c r="AY47" s="3">
        <f>SUMIFS(I:I,D:D,_xlfn.SINGLE(Region),C:C,AW47,G:G,AX47,A:A,_xlfn.SINGLE(CurYear),B:B,_xlfn.SINGLE(CurMonth))</f>
        <v>3327.96</v>
      </c>
    </row>
    <row r="48" spans="1:51" hidden="1" x14ac:dyDescent="0.25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>_xlfn.XLOOKUP(AW48,C:C,D:D)</f>
        <v>New York</v>
      </c>
      <c r="AW48" t="s">
        <v>62</v>
      </c>
      <c r="AX48" t="s">
        <v>14</v>
      </c>
      <c r="AY48" s="3">
        <f>SUMIFS(I:I,D:D,_xlfn.SINGLE(Region),C:C,AW48,G:G,AX48,A:A,_xlfn.SINGLE(CurYear),B:B,_xlfn.SINGLE(CurMonth))</f>
        <v>0</v>
      </c>
    </row>
    <row r="49" spans="1:51" hidden="1" x14ac:dyDescent="0.25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>_xlfn.XLOOKUP(AW49,C:C,D:D)</f>
        <v>New York</v>
      </c>
      <c r="AW49" t="s">
        <v>62</v>
      </c>
      <c r="AX49" t="s">
        <v>9</v>
      </c>
      <c r="AY49" s="3">
        <f>SUMIFS(I:I,D:D,_xlfn.SINGLE(Region),C:C,AW49,G:G,AX49,A:A,_xlfn.SINGLE(CurYear),B:B,_xlfn.SINGLE(CurMonth))</f>
        <v>0</v>
      </c>
    </row>
    <row r="50" spans="1:51" hidden="1" x14ac:dyDescent="0.25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>_xlfn.XLOOKUP(AW50,C:C,D:D)</f>
        <v>New York</v>
      </c>
      <c r="AW50" t="s">
        <v>62</v>
      </c>
      <c r="AX50" t="s">
        <v>21</v>
      </c>
      <c r="AY50" s="3">
        <f>SUMIFS(I:I,D:D,_xlfn.SINGLE(Region),C:C,AW50,G:G,AX50,A:A,_xlfn.SINGLE(CurYear),B:B,_xlfn.SINGLE(CurMonth))</f>
        <v>0</v>
      </c>
    </row>
    <row r="51" spans="1:51" hidden="1" x14ac:dyDescent="0.25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>_xlfn.XLOOKUP(AW51,C:C,D:D)</f>
        <v>New York</v>
      </c>
      <c r="AW51" t="s">
        <v>62</v>
      </c>
      <c r="AX51" t="s">
        <v>7</v>
      </c>
      <c r="AY51" s="3">
        <f>SUMIFS(I:I,D:D,_xlfn.SINGLE(Region),C:C,AW51,G:G,AX51,A:A,_xlfn.SINGLE(CurYear),B:B,_xlfn.SINGLE(CurMonth))</f>
        <v>0</v>
      </c>
    </row>
    <row r="52" spans="1:51" hidden="1" x14ac:dyDescent="0.25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>_xlfn.XLOOKUP(AW52,C:C,D:D)</f>
        <v>New York</v>
      </c>
      <c r="AW52" t="s">
        <v>62</v>
      </c>
      <c r="AX52" t="s">
        <v>12</v>
      </c>
      <c r="AY52" s="3">
        <f>SUMIFS(I:I,D:D,_xlfn.SINGLE(Region),C:C,AW52,G:G,AX52,A:A,_xlfn.SINGLE(CurYear),B:B,_xlfn.SINGLE(CurMonth))</f>
        <v>0</v>
      </c>
    </row>
    <row r="53" spans="1:51" hidden="1" x14ac:dyDescent="0.25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hidden="1" x14ac:dyDescent="0.25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hidden="1" x14ac:dyDescent="0.25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hidden="1" x14ac:dyDescent="0.25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hidden="1" x14ac:dyDescent="0.25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hidden="1" x14ac:dyDescent="0.25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hidden="1" x14ac:dyDescent="0.25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hidden="1" x14ac:dyDescent="0.25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hidden="1" x14ac:dyDescent="0.25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hidden="1" x14ac:dyDescent="0.25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hidden="1" x14ac:dyDescent="0.25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hidden="1" x14ac:dyDescent="0.25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hidden="1" x14ac:dyDescent="0.25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hidden="1" x14ac:dyDescent="0.25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hidden="1" x14ac:dyDescent="0.25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hidden="1" x14ac:dyDescent="0.25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hidden="1" x14ac:dyDescent="0.25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hidden="1" x14ac:dyDescent="0.25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hidden="1" x14ac:dyDescent="0.25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hidden="1" x14ac:dyDescent="0.25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hidden="1" x14ac:dyDescent="0.25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hidden="1" x14ac:dyDescent="0.25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hidden="1" x14ac:dyDescent="0.25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hidden="1" x14ac:dyDescent="0.25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hidden="1" x14ac:dyDescent="0.25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hidden="1" x14ac:dyDescent="0.25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hidden="1" x14ac:dyDescent="0.25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hidden="1" x14ac:dyDescent="0.25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hidden="1" x14ac:dyDescent="0.25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hidden="1" x14ac:dyDescent="0.25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hidden="1" x14ac:dyDescent="0.25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hidden="1" x14ac:dyDescent="0.25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hidden="1" x14ac:dyDescent="0.25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hidden="1" x14ac:dyDescent="0.25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hidden="1" x14ac:dyDescent="0.25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hidden="1" x14ac:dyDescent="0.25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hidden="1" x14ac:dyDescent="0.25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hidden="1" x14ac:dyDescent="0.25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hidden="1" x14ac:dyDescent="0.25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hidden="1" x14ac:dyDescent="0.25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hidden="1" x14ac:dyDescent="0.25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hidden="1" x14ac:dyDescent="0.25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hidden="1" x14ac:dyDescent="0.25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hidden="1" x14ac:dyDescent="0.25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hidden="1" x14ac:dyDescent="0.25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hidden="1" x14ac:dyDescent="0.25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hidden="1" x14ac:dyDescent="0.25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hidden="1" x14ac:dyDescent="0.25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hidden="1" x14ac:dyDescent="0.25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hidden="1" x14ac:dyDescent="0.25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hidden="1" x14ac:dyDescent="0.25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hidden="1" x14ac:dyDescent="0.25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hidden="1" x14ac:dyDescent="0.25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hidden="1" x14ac:dyDescent="0.25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hidden="1" x14ac:dyDescent="0.25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hidden="1" x14ac:dyDescent="0.25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hidden="1" x14ac:dyDescent="0.25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hidden="1" x14ac:dyDescent="0.25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hidden="1" x14ac:dyDescent="0.25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hidden="1" x14ac:dyDescent="0.25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hidden="1" x14ac:dyDescent="0.25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hidden="1" x14ac:dyDescent="0.25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hidden="1" x14ac:dyDescent="0.25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hidden="1" x14ac:dyDescent="0.25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hidden="1" x14ac:dyDescent="0.25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hidden="1" x14ac:dyDescent="0.25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hidden="1" x14ac:dyDescent="0.25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hidden="1" x14ac:dyDescent="0.25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hidden="1" x14ac:dyDescent="0.25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hidden="1" x14ac:dyDescent="0.25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hidden="1" x14ac:dyDescent="0.25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hidden="1" x14ac:dyDescent="0.25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hidden="1" x14ac:dyDescent="0.25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hidden="1" x14ac:dyDescent="0.25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hidden="1" x14ac:dyDescent="0.25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hidden="1" x14ac:dyDescent="0.25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hidden="1" x14ac:dyDescent="0.25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hidden="1" x14ac:dyDescent="0.25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hidden="1" x14ac:dyDescent="0.25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hidden="1" x14ac:dyDescent="0.25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hidden="1" x14ac:dyDescent="0.25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hidden="1" x14ac:dyDescent="0.25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hidden="1" x14ac:dyDescent="0.25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hidden="1" x14ac:dyDescent="0.25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hidden="1" x14ac:dyDescent="0.25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hidden="1" x14ac:dyDescent="0.25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hidden="1" x14ac:dyDescent="0.25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hidden="1" x14ac:dyDescent="0.25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hidden="1" x14ac:dyDescent="0.25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hidden="1" x14ac:dyDescent="0.25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hidden="1" x14ac:dyDescent="0.25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hidden="1" x14ac:dyDescent="0.25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hidden="1" x14ac:dyDescent="0.25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hidden="1" x14ac:dyDescent="0.25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hidden="1" x14ac:dyDescent="0.25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hidden="1" x14ac:dyDescent="0.25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hidden="1" x14ac:dyDescent="0.25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hidden="1" x14ac:dyDescent="0.25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hidden="1" x14ac:dyDescent="0.25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hidden="1" x14ac:dyDescent="0.25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hidden="1" x14ac:dyDescent="0.25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hidden="1" x14ac:dyDescent="0.25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hidden="1" x14ac:dyDescent="0.25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hidden="1" x14ac:dyDescent="0.25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hidden="1" x14ac:dyDescent="0.25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hidden="1" x14ac:dyDescent="0.25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hidden="1" x14ac:dyDescent="0.25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hidden="1" x14ac:dyDescent="0.25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hidden="1" x14ac:dyDescent="0.25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hidden="1" x14ac:dyDescent="0.25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hidden="1" x14ac:dyDescent="0.25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hidden="1" x14ac:dyDescent="0.25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hidden="1" x14ac:dyDescent="0.25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hidden="1" x14ac:dyDescent="0.25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hidden="1" x14ac:dyDescent="0.25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hidden="1" x14ac:dyDescent="0.25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hidden="1" x14ac:dyDescent="0.25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hidden="1" x14ac:dyDescent="0.25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hidden="1" x14ac:dyDescent="0.25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hidden="1" x14ac:dyDescent="0.25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hidden="1" x14ac:dyDescent="0.25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hidden="1" x14ac:dyDescent="0.25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hidden="1" x14ac:dyDescent="0.25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hidden="1" x14ac:dyDescent="0.25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hidden="1" x14ac:dyDescent="0.25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hidden="1" x14ac:dyDescent="0.25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hidden="1" x14ac:dyDescent="0.25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hidden="1" x14ac:dyDescent="0.25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hidden="1" x14ac:dyDescent="0.25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hidden="1" x14ac:dyDescent="0.25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hidden="1" x14ac:dyDescent="0.25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hidden="1" x14ac:dyDescent="0.25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hidden="1" x14ac:dyDescent="0.25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hidden="1" x14ac:dyDescent="0.25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hidden="1" x14ac:dyDescent="0.25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hidden="1" x14ac:dyDescent="0.25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hidden="1" x14ac:dyDescent="0.25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hidden="1" x14ac:dyDescent="0.25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hidden="1" x14ac:dyDescent="0.25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hidden="1" x14ac:dyDescent="0.25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hidden="1" x14ac:dyDescent="0.25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hidden="1" x14ac:dyDescent="0.25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hidden="1" x14ac:dyDescent="0.25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hidden="1" x14ac:dyDescent="0.25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hidden="1" x14ac:dyDescent="0.25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hidden="1" x14ac:dyDescent="0.25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hidden="1" x14ac:dyDescent="0.25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hidden="1" x14ac:dyDescent="0.25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hidden="1" x14ac:dyDescent="0.25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hidden="1" x14ac:dyDescent="0.25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hidden="1" x14ac:dyDescent="0.25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hidden="1" x14ac:dyDescent="0.25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hidden="1" x14ac:dyDescent="0.25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hidden="1" x14ac:dyDescent="0.25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hidden="1" x14ac:dyDescent="0.25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hidden="1" x14ac:dyDescent="0.25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hidden="1" x14ac:dyDescent="0.25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hidden="1" x14ac:dyDescent="0.25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hidden="1" x14ac:dyDescent="0.25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hidden="1" x14ac:dyDescent="0.25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hidden="1" x14ac:dyDescent="0.25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hidden="1" x14ac:dyDescent="0.25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hidden="1" x14ac:dyDescent="0.25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hidden="1" x14ac:dyDescent="0.25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hidden="1" x14ac:dyDescent="0.25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hidden="1" x14ac:dyDescent="0.25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hidden="1" x14ac:dyDescent="0.25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hidden="1" x14ac:dyDescent="0.25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hidden="1" x14ac:dyDescent="0.25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hidden="1" x14ac:dyDescent="0.25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hidden="1" x14ac:dyDescent="0.25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hidden="1" x14ac:dyDescent="0.25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hidden="1" x14ac:dyDescent="0.25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hidden="1" x14ac:dyDescent="0.25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hidden="1" x14ac:dyDescent="0.25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hidden="1" x14ac:dyDescent="0.25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hidden="1" x14ac:dyDescent="0.25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hidden="1" x14ac:dyDescent="0.25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hidden="1" x14ac:dyDescent="0.25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hidden="1" x14ac:dyDescent="0.25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hidden="1" x14ac:dyDescent="0.25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hidden="1" x14ac:dyDescent="0.25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hidden="1" x14ac:dyDescent="0.25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hidden="1" x14ac:dyDescent="0.25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hidden="1" x14ac:dyDescent="0.25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hidden="1" x14ac:dyDescent="0.25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hidden="1" x14ac:dyDescent="0.25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hidden="1" x14ac:dyDescent="0.25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hidden="1" x14ac:dyDescent="0.25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hidden="1" x14ac:dyDescent="0.25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hidden="1" x14ac:dyDescent="0.25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hidden="1" x14ac:dyDescent="0.25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hidden="1" x14ac:dyDescent="0.25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hidden="1" x14ac:dyDescent="0.25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hidden="1" x14ac:dyDescent="0.25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hidden="1" x14ac:dyDescent="0.25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hidden="1" x14ac:dyDescent="0.25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hidden="1" x14ac:dyDescent="0.25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hidden="1" x14ac:dyDescent="0.25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hidden="1" x14ac:dyDescent="0.25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hidden="1" x14ac:dyDescent="0.25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hidden="1" x14ac:dyDescent="0.25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hidden="1" x14ac:dyDescent="0.25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hidden="1" x14ac:dyDescent="0.25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hidden="1" x14ac:dyDescent="0.25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hidden="1" x14ac:dyDescent="0.25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hidden="1" x14ac:dyDescent="0.25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hidden="1" x14ac:dyDescent="0.25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hidden="1" x14ac:dyDescent="0.25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hidden="1" x14ac:dyDescent="0.25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hidden="1" x14ac:dyDescent="0.25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hidden="1" x14ac:dyDescent="0.25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hidden="1" x14ac:dyDescent="0.25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hidden="1" x14ac:dyDescent="0.25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hidden="1" x14ac:dyDescent="0.25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hidden="1" x14ac:dyDescent="0.25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hidden="1" x14ac:dyDescent="0.25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hidden="1" x14ac:dyDescent="0.25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hidden="1" x14ac:dyDescent="0.25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hidden="1" x14ac:dyDescent="0.25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hidden="1" x14ac:dyDescent="0.25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hidden="1" x14ac:dyDescent="0.25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hidden="1" x14ac:dyDescent="0.25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hidden="1" x14ac:dyDescent="0.25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hidden="1" x14ac:dyDescent="0.25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hidden="1" x14ac:dyDescent="0.25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hidden="1" x14ac:dyDescent="0.25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hidden="1" x14ac:dyDescent="0.25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hidden="1" x14ac:dyDescent="0.25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hidden="1" x14ac:dyDescent="0.25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hidden="1" x14ac:dyDescent="0.25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hidden="1" x14ac:dyDescent="0.25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hidden="1" x14ac:dyDescent="0.25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hidden="1" x14ac:dyDescent="0.25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hidden="1" x14ac:dyDescent="0.25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hidden="1" x14ac:dyDescent="0.25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hidden="1" x14ac:dyDescent="0.25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hidden="1" x14ac:dyDescent="0.25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hidden="1" x14ac:dyDescent="0.25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hidden="1" x14ac:dyDescent="0.25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hidden="1" x14ac:dyDescent="0.25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hidden="1" x14ac:dyDescent="0.25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hidden="1" x14ac:dyDescent="0.25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hidden="1" x14ac:dyDescent="0.25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hidden="1" x14ac:dyDescent="0.25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hidden="1" x14ac:dyDescent="0.25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hidden="1" x14ac:dyDescent="0.25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hidden="1" x14ac:dyDescent="0.25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hidden="1" x14ac:dyDescent="0.25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hidden="1" x14ac:dyDescent="0.25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hidden="1" x14ac:dyDescent="0.25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hidden="1" x14ac:dyDescent="0.25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hidden="1" x14ac:dyDescent="0.25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hidden="1" x14ac:dyDescent="0.25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hidden="1" x14ac:dyDescent="0.25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hidden="1" x14ac:dyDescent="0.25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hidden="1" x14ac:dyDescent="0.25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hidden="1" x14ac:dyDescent="0.25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hidden="1" x14ac:dyDescent="0.25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hidden="1" x14ac:dyDescent="0.25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hidden="1" x14ac:dyDescent="0.25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hidden="1" x14ac:dyDescent="0.25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hidden="1" x14ac:dyDescent="0.25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hidden="1" x14ac:dyDescent="0.25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hidden="1" x14ac:dyDescent="0.25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hidden="1" x14ac:dyDescent="0.25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hidden="1" x14ac:dyDescent="0.25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hidden="1" x14ac:dyDescent="0.25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hidden="1" x14ac:dyDescent="0.25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hidden="1" x14ac:dyDescent="0.25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hidden="1" x14ac:dyDescent="0.25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hidden="1" x14ac:dyDescent="0.25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hidden="1" x14ac:dyDescent="0.25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hidden="1" x14ac:dyDescent="0.25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hidden="1" x14ac:dyDescent="0.25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hidden="1" x14ac:dyDescent="0.25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hidden="1" x14ac:dyDescent="0.25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hidden="1" x14ac:dyDescent="0.25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hidden="1" x14ac:dyDescent="0.25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hidden="1" x14ac:dyDescent="0.25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hidden="1" x14ac:dyDescent="0.25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hidden="1" x14ac:dyDescent="0.25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hidden="1" x14ac:dyDescent="0.25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hidden="1" x14ac:dyDescent="0.25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hidden="1" x14ac:dyDescent="0.25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hidden="1" x14ac:dyDescent="0.25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hidden="1" x14ac:dyDescent="0.25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hidden="1" x14ac:dyDescent="0.25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hidden="1" x14ac:dyDescent="0.25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hidden="1" x14ac:dyDescent="0.25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hidden="1" x14ac:dyDescent="0.25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hidden="1" x14ac:dyDescent="0.25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hidden="1" x14ac:dyDescent="0.25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hidden="1" x14ac:dyDescent="0.25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hidden="1" x14ac:dyDescent="0.25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hidden="1" x14ac:dyDescent="0.25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hidden="1" x14ac:dyDescent="0.25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hidden="1" x14ac:dyDescent="0.25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hidden="1" x14ac:dyDescent="0.25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hidden="1" x14ac:dyDescent="0.25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hidden="1" x14ac:dyDescent="0.25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hidden="1" x14ac:dyDescent="0.25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hidden="1" x14ac:dyDescent="0.25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hidden="1" x14ac:dyDescent="0.25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hidden="1" x14ac:dyDescent="0.25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hidden="1" x14ac:dyDescent="0.25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hidden="1" x14ac:dyDescent="0.25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hidden="1" x14ac:dyDescent="0.25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hidden="1" x14ac:dyDescent="0.25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hidden="1" x14ac:dyDescent="0.25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hidden="1" x14ac:dyDescent="0.25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hidden="1" x14ac:dyDescent="0.25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hidden="1" x14ac:dyDescent="0.25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hidden="1" x14ac:dyDescent="0.25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hidden="1" x14ac:dyDescent="0.25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hidden="1" x14ac:dyDescent="0.25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hidden="1" x14ac:dyDescent="0.25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hidden="1" x14ac:dyDescent="0.25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hidden="1" x14ac:dyDescent="0.25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hidden="1" x14ac:dyDescent="0.25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hidden="1" x14ac:dyDescent="0.25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hidden="1" x14ac:dyDescent="0.25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hidden="1" x14ac:dyDescent="0.25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hidden="1" x14ac:dyDescent="0.25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hidden="1" x14ac:dyDescent="0.25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hidden="1" x14ac:dyDescent="0.25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hidden="1" x14ac:dyDescent="0.25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hidden="1" x14ac:dyDescent="0.25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hidden="1" x14ac:dyDescent="0.25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hidden="1" x14ac:dyDescent="0.25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hidden="1" x14ac:dyDescent="0.25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hidden="1" x14ac:dyDescent="0.25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hidden="1" x14ac:dyDescent="0.25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hidden="1" x14ac:dyDescent="0.25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hidden="1" x14ac:dyDescent="0.25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hidden="1" x14ac:dyDescent="0.25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hidden="1" x14ac:dyDescent="0.25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hidden="1" x14ac:dyDescent="0.25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hidden="1" x14ac:dyDescent="0.25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hidden="1" x14ac:dyDescent="0.25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hidden="1" x14ac:dyDescent="0.25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hidden="1" x14ac:dyDescent="0.25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hidden="1" x14ac:dyDescent="0.25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hidden="1" x14ac:dyDescent="0.25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hidden="1" x14ac:dyDescent="0.25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hidden="1" x14ac:dyDescent="0.25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hidden="1" x14ac:dyDescent="0.25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hidden="1" x14ac:dyDescent="0.25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hidden="1" x14ac:dyDescent="0.25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hidden="1" x14ac:dyDescent="0.25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hidden="1" x14ac:dyDescent="0.25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hidden="1" x14ac:dyDescent="0.25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hidden="1" x14ac:dyDescent="0.25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hidden="1" x14ac:dyDescent="0.25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hidden="1" x14ac:dyDescent="0.25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hidden="1" x14ac:dyDescent="0.25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hidden="1" x14ac:dyDescent="0.25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hidden="1" x14ac:dyDescent="0.25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hidden="1" x14ac:dyDescent="0.25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hidden="1" x14ac:dyDescent="0.25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hidden="1" x14ac:dyDescent="0.25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hidden="1" x14ac:dyDescent="0.25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hidden="1" x14ac:dyDescent="0.25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hidden="1" x14ac:dyDescent="0.25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hidden="1" x14ac:dyDescent="0.25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hidden="1" x14ac:dyDescent="0.25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hidden="1" x14ac:dyDescent="0.25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hidden="1" x14ac:dyDescent="0.25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hidden="1" x14ac:dyDescent="0.25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hidden="1" x14ac:dyDescent="0.25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hidden="1" x14ac:dyDescent="0.25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hidden="1" x14ac:dyDescent="0.25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hidden="1" x14ac:dyDescent="0.25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hidden="1" x14ac:dyDescent="0.25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hidden="1" x14ac:dyDescent="0.25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hidden="1" x14ac:dyDescent="0.25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hidden="1" x14ac:dyDescent="0.25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hidden="1" x14ac:dyDescent="0.25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hidden="1" x14ac:dyDescent="0.25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hidden="1" x14ac:dyDescent="0.25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hidden="1" x14ac:dyDescent="0.25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hidden="1" x14ac:dyDescent="0.25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hidden="1" x14ac:dyDescent="0.25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hidden="1" x14ac:dyDescent="0.25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hidden="1" x14ac:dyDescent="0.25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hidden="1" x14ac:dyDescent="0.25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hidden="1" x14ac:dyDescent="0.25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hidden="1" x14ac:dyDescent="0.25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hidden="1" x14ac:dyDescent="0.25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hidden="1" x14ac:dyDescent="0.25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hidden="1" x14ac:dyDescent="0.25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hidden="1" x14ac:dyDescent="0.25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hidden="1" x14ac:dyDescent="0.25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hidden="1" x14ac:dyDescent="0.25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hidden="1" x14ac:dyDescent="0.25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hidden="1" x14ac:dyDescent="0.25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hidden="1" x14ac:dyDescent="0.25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hidden="1" x14ac:dyDescent="0.25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hidden="1" x14ac:dyDescent="0.25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hidden="1" x14ac:dyDescent="0.25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hidden="1" x14ac:dyDescent="0.25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hidden="1" x14ac:dyDescent="0.25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hidden="1" x14ac:dyDescent="0.25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hidden="1" x14ac:dyDescent="0.25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hidden="1" x14ac:dyDescent="0.25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hidden="1" x14ac:dyDescent="0.25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hidden="1" x14ac:dyDescent="0.25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hidden="1" x14ac:dyDescent="0.25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hidden="1" x14ac:dyDescent="0.25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hidden="1" x14ac:dyDescent="0.25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hidden="1" x14ac:dyDescent="0.25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hidden="1" x14ac:dyDescent="0.25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hidden="1" x14ac:dyDescent="0.25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hidden="1" x14ac:dyDescent="0.25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hidden="1" x14ac:dyDescent="0.25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hidden="1" x14ac:dyDescent="0.25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hidden="1" x14ac:dyDescent="0.25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hidden="1" x14ac:dyDescent="0.25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hidden="1" x14ac:dyDescent="0.25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hidden="1" x14ac:dyDescent="0.25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hidden="1" x14ac:dyDescent="0.25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hidden="1" x14ac:dyDescent="0.25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hidden="1" x14ac:dyDescent="0.25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hidden="1" x14ac:dyDescent="0.25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hidden="1" x14ac:dyDescent="0.25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hidden="1" x14ac:dyDescent="0.25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hidden="1" x14ac:dyDescent="0.25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hidden="1" x14ac:dyDescent="0.25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hidden="1" x14ac:dyDescent="0.25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hidden="1" x14ac:dyDescent="0.25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hidden="1" x14ac:dyDescent="0.25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hidden="1" x14ac:dyDescent="0.25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hidden="1" x14ac:dyDescent="0.25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hidden="1" x14ac:dyDescent="0.25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hidden="1" x14ac:dyDescent="0.25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hidden="1" x14ac:dyDescent="0.25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hidden="1" x14ac:dyDescent="0.25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hidden="1" x14ac:dyDescent="0.25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hidden="1" x14ac:dyDescent="0.25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hidden="1" x14ac:dyDescent="0.25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hidden="1" x14ac:dyDescent="0.25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hidden="1" x14ac:dyDescent="0.25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hidden="1" x14ac:dyDescent="0.25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hidden="1" x14ac:dyDescent="0.25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hidden="1" x14ac:dyDescent="0.25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hidden="1" x14ac:dyDescent="0.25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hidden="1" x14ac:dyDescent="0.25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hidden="1" x14ac:dyDescent="0.25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hidden="1" x14ac:dyDescent="0.25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hidden="1" x14ac:dyDescent="0.25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hidden="1" x14ac:dyDescent="0.25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hidden="1" x14ac:dyDescent="0.25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hidden="1" x14ac:dyDescent="0.25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hidden="1" x14ac:dyDescent="0.25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hidden="1" x14ac:dyDescent="0.25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hidden="1" x14ac:dyDescent="0.25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hidden="1" x14ac:dyDescent="0.25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hidden="1" x14ac:dyDescent="0.25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hidden="1" x14ac:dyDescent="0.25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hidden="1" x14ac:dyDescent="0.25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hidden="1" x14ac:dyDescent="0.25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hidden="1" x14ac:dyDescent="0.25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hidden="1" x14ac:dyDescent="0.25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hidden="1" x14ac:dyDescent="0.25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hidden="1" x14ac:dyDescent="0.25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hidden="1" x14ac:dyDescent="0.25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hidden="1" x14ac:dyDescent="0.25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hidden="1" x14ac:dyDescent="0.25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hidden="1" x14ac:dyDescent="0.25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hidden="1" x14ac:dyDescent="0.25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hidden="1" x14ac:dyDescent="0.25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hidden="1" x14ac:dyDescent="0.25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hidden="1" x14ac:dyDescent="0.25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hidden="1" x14ac:dyDescent="0.25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hidden="1" x14ac:dyDescent="0.25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hidden="1" x14ac:dyDescent="0.25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hidden="1" x14ac:dyDescent="0.25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hidden="1" x14ac:dyDescent="0.25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hidden="1" x14ac:dyDescent="0.25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hidden="1" x14ac:dyDescent="0.25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hidden="1" x14ac:dyDescent="0.25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hidden="1" x14ac:dyDescent="0.25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hidden="1" x14ac:dyDescent="0.25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hidden="1" x14ac:dyDescent="0.25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hidden="1" x14ac:dyDescent="0.25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hidden="1" x14ac:dyDescent="0.25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hidden="1" x14ac:dyDescent="0.25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hidden="1" x14ac:dyDescent="0.25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hidden="1" x14ac:dyDescent="0.25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hidden="1" x14ac:dyDescent="0.25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hidden="1" x14ac:dyDescent="0.25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hidden="1" x14ac:dyDescent="0.25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hidden="1" x14ac:dyDescent="0.25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hidden="1" x14ac:dyDescent="0.25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hidden="1" x14ac:dyDescent="0.25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hidden="1" x14ac:dyDescent="0.25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hidden="1" x14ac:dyDescent="0.25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hidden="1" x14ac:dyDescent="0.25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hidden="1" x14ac:dyDescent="0.25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hidden="1" x14ac:dyDescent="0.25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hidden="1" x14ac:dyDescent="0.25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hidden="1" x14ac:dyDescent="0.25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hidden="1" x14ac:dyDescent="0.25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hidden="1" x14ac:dyDescent="0.25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hidden="1" x14ac:dyDescent="0.25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hidden="1" x14ac:dyDescent="0.25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hidden="1" x14ac:dyDescent="0.25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hidden="1" x14ac:dyDescent="0.25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hidden="1" x14ac:dyDescent="0.25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hidden="1" x14ac:dyDescent="0.25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hidden="1" x14ac:dyDescent="0.25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hidden="1" x14ac:dyDescent="0.25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hidden="1" x14ac:dyDescent="0.25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hidden="1" x14ac:dyDescent="0.25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hidden="1" x14ac:dyDescent="0.25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hidden="1" x14ac:dyDescent="0.25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hidden="1" x14ac:dyDescent="0.25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hidden="1" x14ac:dyDescent="0.25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hidden="1" x14ac:dyDescent="0.25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hidden="1" x14ac:dyDescent="0.25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hidden="1" x14ac:dyDescent="0.25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hidden="1" x14ac:dyDescent="0.25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hidden="1" x14ac:dyDescent="0.25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hidden="1" x14ac:dyDescent="0.25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hidden="1" x14ac:dyDescent="0.25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hidden="1" x14ac:dyDescent="0.25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hidden="1" x14ac:dyDescent="0.25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hidden="1" x14ac:dyDescent="0.25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hidden="1" x14ac:dyDescent="0.25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hidden="1" x14ac:dyDescent="0.25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hidden="1" x14ac:dyDescent="0.25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hidden="1" x14ac:dyDescent="0.25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hidden="1" x14ac:dyDescent="0.25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hidden="1" x14ac:dyDescent="0.25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hidden="1" x14ac:dyDescent="0.25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hidden="1" x14ac:dyDescent="0.25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hidden="1" x14ac:dyDescent="0.25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hidden="1" x14ac:dyDescent="0.25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hidden="1" x14ac:dyDescent="0.25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hidden="1" x14ac:dyDescent="0.25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hidden="1" x14ac:dyDescent="0.25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hidden="1" x14ac:dyDescent="0.25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hidden="1" x14ac:dyDescent="0.25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hidden="1" x14ac:dyDescent="0.25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hidden="1" x14ac:dyDescent="0.25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hidden="1" x14ac:dyDescent="0.25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hidden="1" x14ac:dyDescent="0.25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hidden="1" x14ac:dyDescent="0.25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hidden="1" x14ac:dyDescent="0.25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hidden="1" x14ac:dyDescent="0.25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hidden="1" x14ac:dyDescent="0.25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hidden="1" x14ac:dyDescent="0.25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hidden="1" x14ac:dyDescent="0.25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hidden="1" x14ac:dyDescent="0.25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hidden="1" x14ac:dyDescent="0.25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hidden="1" x14ac:dyDescent="0.25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hidden="1" x14ac:dyDescent="0.25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hidden="1" x14ac:dyDescent="0.25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hidden="1" x14ac:dyDescent="0.25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hidden="1" x14ac:dyDescent="0.25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hidden="1" x14ac:dyDescent="0.25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hidden="1" x14ac:dyDescent="0.25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hidden="1" x14ac:dyDescent="0.25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hidden="1" x14ac:dyDescent="0.25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hidden="1" x14ac:dyDescent="0.25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hidden="1" x14ac:dyDescent="0.25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hidden="1" x14ac:dyDescent="0.25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hidden="1" x14ac:dyDescent="0.25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hidden="1" x14ac:dyDescent="0.25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hidden="1" x14ac:dyDescent="0.25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hidden="1" x14ac:dyDescent="0.25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hidden="1" x14ac:dyDescent="0.25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hidden="1" x14ac:dyDescent="0.25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hidden="1" x14ac:dyDescent="0.25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hidden="1" x14ac:dyDescent="0.25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hidden="1" x14ac:dyDescent="0.25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hidden="1" x14ac:dyDescent="0.25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hidden="1" x14ac:dyDescent="0.25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hidden="1" x14ac:dyDescent="0.25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hidden="1" x14ac:dyDescent="0.25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hidden="1" x14ac:dyDescent="0.25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hidden="1" x14ac:dyDescent="0.25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hidden="1" x14ac:dyDescent="0.25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hidden="1" x14ac:dyDescent="0.25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hidden="1" x14ac:dyDescent="0.25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hidden="1" x14ac:dyDescent="0.25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hidden="1" x14ac:dyDescent="0.25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hidden="1" x14ac:dyDescent="0.25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hidden="1" x14ac:dyDescent="0.25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hidden="1" x14ac:dyDescent="0.25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hidden="1" x14ac:dyDescent="0.25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hidden="1" x14ac:dyDescent="0.25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hidden="1" x14ac:dyDescent="0.25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hidden="1" x14ac:dyDescent="0.25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hidden="1" x14ac:dyDescent="0.25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hidden="1" x14ac:dyDescent="0.25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hidden="1" x14ac:dyDescent="0.25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hidden="1" x14ac:dyDescent="0.25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hidden="1" x14ac:dyDescent="0.25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hidden="1" x14ac:dyDescent="0.25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hidden="1" x14ac:dyDescent="0.25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hidden="1" x14ac:dyDescent="0.25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hidden="1" x14ac:dyDescent="0.25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hidden="1" x14ac:dyDescent="0.25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hidden="1" x14ac:dyDescent="0.25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hidden="1" x14ac:dyDescent="0.25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hidden="1" x14ac:dyDescent="0.25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hidden="1" x14ac:dyDescent="0.25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hidden="1" x14ac:dyDescent="0.25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hidden="1" x14ac:dyDescent="0.25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hidden="1" x14ac:dyDescent="0.25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hidden="1" x14ac:dyDescent="0.25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hidden="1" x14ac:dyDescent="0.25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hidden="1" x14ac:dyDescent="0.25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hidden="1" x14ac:dyDescent="0.25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hidden="1" x14ac:dyDescent="0.25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hidden="1" x14ac:dyDescent="0.25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hidden="1" x14ac:dyDescent="0.25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hidden="1" x14ac:dyDescent="0.25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hidden="1" x14ac:dyDescent="0.25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hidden="1" x14ac:dyDescent="0.25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hidden="1" x14ac:dyDescent="0.25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hidden="1" x14ac:dyDescent="0.25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hidden="1" x14ac:dyDescent="0.25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hidden="1" x14ac:dyDescent="0.25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hidden="1" x14ac:dyDescent="0.25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hidden="1" x14ac:dyDescent="0.25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hidden="1" x14ac:dyDescent="0.25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hidden="1" x14ac:dyDescent="0.25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hidden="1" x14ac:dyDescent="0.25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hidden="1" x14ac:dyDescent="0.25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hidden="1" x14ac:dyDescent="0.25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hidden="1" x14ac:dyDescent="0.25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hidden="1" x14ac:dyDescent="0.25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hidden="1" x14ac:dyDescent="0.25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hidden="1" x14ac:dyDescent="0.25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hidden="1" x14ac:dyDescent="0.25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hidden="1" x14ac:dyDescent="0.25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hidden="1" x14ac:dyDescent="0.25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hidden="1" x14ac:dyDescent="0.25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hidden="1" x14ac:dyDescent="0.25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hidden="1" x14ac:dyDescent="0.25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hidden="1" x14ac:dyDescent="0.25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hidden="1" x14ac:dyDescent="0.25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hidden="1" x14ac:dyDescent="0.25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hidden="1" x14ac:dyDescent="0.25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hidden="1" x14ac:dyDescent="0.25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hidden="1" x14ac:dyDescent="0.25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hidden="1" x14ac:dyDescent="0.25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hidden="1" x14ac:dyDescent="0.25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hidden="1" x14ac:dyDescent="0.25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hidden="1" x14ac:dyDescent="0.25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hidden="1" x14ac:dyDescent="0.25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hidden="1" x14ac:dyDescent="0.25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hidden="1" x14ac:dyDescent="0.25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hidden="1" x14ac:dyDescent="0.25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hidden="1" x14ac:dyDescent="0.25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hidden="1" x14ac:dyDescent="0.25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hidden="1" x14ac:dyDescent="0.25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hidden="1" x14ac:dyDescent="0.25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hidden="1" x14ac:dyDescent="0.25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hidden="1" x14ac:dyDescent="0.25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hidden="1" x14ac:dyDescent="0.25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hidden="1" x14ac:dyDescent="0.25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hidden="1" x14ac:dyDescent="0.25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hidden="1" x14ac:dyDescent="0.25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hidden="1" x14ac:dyDescent="0.25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hidden="1" x14ac:dyDescent="0.25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hidden="1" x14ac:dyDescent="0.25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hidden="1" x14ac:dyDescent="0.25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hidden="1" x14ac:dyDescent="0.25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hidden="1" x14ac:dyDescent="0.25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hidden="1" x14ac:dyDescent="0.25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hidden="1" x14ac:dyDescent="0.25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hidden="1" x14ac:dyDescent="0.25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hidden="1" x14ac:dyDescent="0.25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hidden="1" x14ac:dyDescent="0.25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hidden="1" x14ac:dyDescent="0.25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hidden="1" x14ac:dyDescent="0.25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hidden="1" x14ac:dyDescent="0.25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hidden="1" x14ac:dyDescent="0.25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hidden="1" x14ac:dyDescent="0.25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hidden="1" x14ac:dyDescent="0.25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hidden="1" x14ac:dyDescent="0.25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hidden="1" x14ac:dyDescent="0.25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hidden="1" x14ac:dyDescent="0.25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hidden="1" x14ac:dyDescent="0.25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hidden="1" x14ac:dyDescent="0.25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hidden="1" x14ac:dyDescent="0.25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hidden="1" x14ac:dyDescent="0.25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hidden="1" x14ac:dyDescent="0.25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hidden="1" x14ac:dyDescent="0.25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hidden="1" x14ac:dyDescent="0.25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hidden="1" x14ac:dyDescent="0.25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hidden="1" x14ac:dyDescent="0.25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hidden="1" x14ac:dyDescent="0.25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hidden="1" x14ac:dyDescent="0.25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hidden="1" x14ac:dyDescent="0.25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hidden="1" x14ac:dyDescent="0.25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hidden="1" x14ac:dyDescent="0.25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hidden="1" x14ac:dyDescent="0.25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hidden="1" x14ac:dyDescent="0.25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hidden="1" x14ac:dyDescent="0.25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hidden="1" x14ac:dyDescent="0.25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hidden="1" x14ac:dyDescent="0.25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hidden="1" x14ac:dyDescent="0.25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hidden="1" x14ac:dyDescent="0.25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hidden="1" x14ac:dyDescent="0.25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hidden="1" x14ac:dyDescent="0.25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hidden="1" x14ac:dyDescent="0.25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hidden="1" x14ac:dyDescent="0.25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hidden="1" x14ac:dyDescent="0.25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hidden="1" x14ac:dyDescent="0.25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hidden="1" x14ac:dyDescent="0.25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hidden="1" x14ac:dyDescent="0.25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hidden="1" x14ac:dyDescent="0.25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hidden="1" x14ac:dyDescent="0.25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hidden="1" x14ac:dyDescent="0.25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hidden="1" x14ac:dyDescent="0.25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hidden="1" x14ac:dyDescent="0.25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hidden="1" x14ac:dyDescent="0.25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hidden="1" x14ac:dyDescent="0.25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hidden="1" x14ac:dyDescent="0.25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hidden="1" x14ac:dyDescent="0.25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hidden="1" x14ac:dyDescent="0.25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hidden="1" x14ac:dyDescent="0.25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hidden="1" x14ac:dyDescent="0.25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hidden="1" x14ac:dyDescent="0.25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hidden="1" x14ac:dyDescent="0.25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hidden="1" x14ac:dyDescent="0.25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hidden="1" x14ac:dyDescent="0.25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hidden="1" x14ac:dyDescent="0.25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hidden="1" x14ac:dyDescent="0.25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hidden="1" x14ac:dyDescent="0.25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hidden="1" x14ac:dyDescent="0.25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hidden="1" x14ac:dyDescent="0.25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hidden="1" x14ac:dyDescent="0.25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hidden="1" x14ac:dyDescent="0.25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hidden="1" x14ac:dyDescent="0.25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hidden="1" x14ac:dyDescent="0.25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hidden="1" x14ac:dyDescent="0.25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hidden="1" x14ac:dyDescent="0.25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hidden="1" x14ac:dyDescent="0.25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hidden="1" x14ac:dyDescent="0.25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hidden="1" x14ac:dyDescent="0.25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hidden="1" x14ac:dyDescent="0.25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hidden="1" x14ac:dyDescent="0.25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hidden="1" x14ac:dyDescent="0.25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hidden="1" x14ac:dyDescent="0.25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hidden="1" x14ac:dyDescent="0.25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hidden="1" x14ac:dyDescent="0.25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hidden="1" x14ac:dyDescent="0.25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hidden="1" x14ac:dyDescent="0.25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hidden="1" x14ac:dyDescent="0.25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hidden="1" x14ac:dyDescent="0.25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hidden="1" x14ac:dyDescent="0.25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hidden="1" x14ac:dyDescent="0.25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hidden="1" x14ac:dyDescent="0.25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hidden="1" x14ac:dyDescent="0.25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hidden="1" x14ac:dyDescent="0.25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hidden="1" x14ac:dyDescent="0.25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hidden="1" x14ac:dyDescent="0.25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hidden="1" x14ac:dyDescent="0.25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hidden="1" x14ac:dyDescent="0.25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hidden="1" x14ac:dyDescent="0.25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hidden="1" x14ac:dyDescent="0.25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hidden="1" x14ac:dyDescent="0.25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hidden="1" x14ac:dyDescent="0.25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hidden="1" x14ac:dyDescent="0.25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hidden="1" x14ac:dyDescent="0.25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hidden="1" x14ac:dyDescent="0.25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hidden="1" x14ac:dyDescent="0.25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hidden="1" x14ac:dyDescent="0.25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hidden="1" x14ac:dyDescent="0.25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hidden="1" x14ac:dyDescent="0.25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hidden="1" x14ac:dyDescent="0.25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hidden="1" x14ac:dyDescent="0.25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hidden="1" x14ac:dyDescent="0.25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hidden="1" x14ac:dyDescent="0.25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hidden="1" x14ac:dyDescent="0.25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hidden="1" x14ac:dyDescent="0.25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hidden="1" x14ac:dyDescent="0.25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hidden="1" x14ac:dyDescent="0.25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hidden="1" x14ac:dyDescent="0.25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hidden="1" x14ac:dyDescent="0.25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hidden="1" x14ac:dyDescent="0.25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hidden="1" x14ac:dyDescent="0.25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hidden="1" x14ac:dyDescent="0.25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hidden="1" x14ac:dyDescent="0.25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hidden="1" x14ac:dyDescent="0.25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hidden="1" x14ac:dyDescent="0.25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hidden="1" x14ac:dyDescent="0.25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hidden="1" x14ac:dyDescent="0.25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hidden="1" x14ac:dyDescent="0.25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hidden="1" x14ac:dyDescent="0.25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hidden="1" x14ac:dyDescent="0.25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hidden="1" x14ac:dyDescent="0.25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hidden="1" x14ac:dyDescent="0.25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hidden="1" x14ac:dyDescent="0.25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hidden="1" x14ac:dyDescent="0.25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hidden="1" x14ac:dyDescent="0.25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hidden="1" x14ac:dyDescent="0.25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hidden="1" x14ac:dyDescent="0.25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hidden="1" x14ac:dyDescent="0.25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hidden="1" x14ac:dyDescent="0.25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hidden="1" x14ac:dyDescent="0.25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hidden="1" x14ac:dyDescent="0.25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hidden="1" x14ac:dyDescent="0.25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hidden="1" x14ac:dyDescent="0.25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hidden="1" x14ac:dyDescent="0.25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hidden="1" x14ac:dyDescent="0.25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hidden="1" x14ac:dyDescent="0.25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hidden="1" x14ac:dyDescent="0.25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hidden="1" x14ac:dyDescent="0.25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hidden="1" x14ac:dyDescent="0.25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hidden="1" x14ac:dyDescent="0.25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hidden="1" x14ac:dyDescent="0.25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hidden="1" x14ac:dyDescent="0.25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hidden="1" x14ac:dyDescent="0.25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hidden="1" x14ac:dyDescent="0.25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hidden="1" x14ac:dyDescent="0.25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hidden="1" x14ac:dyDescent="0.25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hidden="1" x14ac:dyDescent="0.25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hidden="1" x14ac:dyDescent="0.25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hidden="1" x14ac:dyDescent="0.25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hidden="1" x14ac:dyDescent="0.25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hidden="1" x14ac:dyDescent="0.25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hidden="1" x14ac:dyDescent="0.25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hidden="1" x14ac:dyDescent="0.25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hidden="1" x14ac:dyDescent="0.25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hidden="1" x14ac:dyDescent="0.25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hidden="1" x14ac:dyDescent="0.25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hidden="1" x14ac:dyDescent="0.25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hidden="1" x14ac:dyDescent="0.25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hidden="1" x14ac:dyDescent="0.25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hidden="1" x14ac:dyDescent="0.25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hidden="1" x14ac:dyDescent="0.25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hidden="1" x14ac:dyDescent="0.25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hidden="1" x14ac:dyDescent="0.25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hidden="1" x14ac:dyDescent="0.25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hidden="1" x14ac:dyDescent="0.25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hidden="1" x14ac:dyDescent="0.25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hidden="1" x14ac:dyDescent="0.25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hidden="1" x14ac:dyDescent="0.25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hidden="1" x14ac:dyDescent="0.25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hidden="1" x14ac:dyDescent="0.25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hidden="1" x14ac:dyDescent="0.25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hidden="1" x14ac:dyDescent="0.25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hidden="1" x14ac:dyDescent="0.25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hidden="1" x14ac:dyDescent="0.25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hidden="1" x14ac:dyDescent="0.25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hidden="1" x14ac:dyDescent="0.25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hidden="1" x14ac:dyDescent="0.25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hidden="1" x14ac:dyDescent="0.25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hidden="1" x14ac:dyDescent="0.25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hidden="1" x14ac:dyDescent="0.25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hidden="1" x14ac:dyDescent="0.25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hidden="1" x14ac:dyDescent="0.25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hidden="1" x14ac:dyDescent="0.25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hidden="1" x14ac:dyDescent="0.25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hidden="1" x14ac:dyDescent="0.25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hidden="1" x14ac:dyDescent="0.25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hidden="1" x14ac:dyDescent="0.25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hidden="1" x14ac:dyDescent="0.25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hidden="1" x14ac:dyDescent="0.25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hidden="1" x14ac:dyDescent="0.25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hidden="1" x14ac:dyDescent="0.25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hidden="1" x14ac:dyDescent="0.25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hidden="1" x14ac:dyDescent="0.25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hidden="1" x14ac:dyDescent="0.25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hidden="1" x14ac:dyDescent="0.25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hidden="1" x14ac:dyDescent="0.25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hidden="1" x14ac:dyDescent="0.25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hidden="1" x14ac:dyDescent="0.25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hidden="1" x14ac:dyDescent="0.25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hidden="1" x14ac:dyDescent="0.25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hidden="1" x14ac:dyDescent="0.25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hidden="1" x14ac:dyDescent="0.25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hidden="1" x14ac:dyDescent="0.25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hidden="1" x14ac:dyDescent="0.25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hidden="1" x14ac:dyDescent="0.25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hidden="1" x14ac:dyDescent="0.25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hidden="1" x14ac:dyDescent="0.25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hidden="1" x14ac:dyDescent="0.25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hidden="1" x14ac:dyDescent="0.25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hidden="1" x14ac:dyDescent="0.25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hidden="1" x14ac:dyDescent="0.25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hidden="1" x14ac:dyDescent="0.25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hidden="1" x14ac:dyDescent="0.25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hidden="1" x14ac:dyDescent="0.25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hidden="1" x14ac:dyDescent="0.25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hidden="1" x14ac:dyDescent="0.25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hidden="1" x14ac:dyDescent="0.25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hidden="1" x14ac:dyDescent="0.25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hidden="1" x14ac:dyDescent="0.25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hidden="1" x14ac:dyDescent="0.25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hidden="1" x14ac:dyDescent="0.25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hidden="1" x14ac:dyDescent="0.25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hidden="1" x14ac:dyDescent="0.25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hidden="1" x14ac:dyDescent="0.25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hidden="1" x14ac:dyDescent="0.25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hidden="1" x14ac:dyDescent="0.25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hidden="1" x14ac:dyDescent="0.25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hidden="1" x14ac:dyDescent="0.25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hidden="1" x14ac:dyDescent="0.25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hidden="1" x14ac:dyDescent="0.25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hidden="1" x14ac:dyDescent="0.25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hidden="1" x14ac:dyDescent="0.25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hidden="1" x14ac:dyDescent="0.25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hidden="1" x14ac:dyDescent="0.25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hidden="1" x14ac:dyDescent="0.25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hidden="1" x14ac:dyDescent="0.25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hidden="1" x14ac:dyDescent="0.25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hidden="1" x14ac:dyDescent="0.25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hidden="1" x14ac:dyDescent="0.25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hidden="1" x14ac:dyDescent="0.25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hidden="1" x14ac:dyDescent="0.25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hidden="1" x14ac:dyDescent="0.25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hidden="1" x14ac:dyDescent="0.25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hidden="1" x14ac:dyDescent="0.25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hidden="1" x14ac:dyDescent="0.25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hidden="1" x14ac:dyDescent="0.25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hidden="1" x14ac:dyDescent="0.25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hidden="1" x14ac:dyDescent="0.25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hidden="1" x14ac:dyDescent="0.25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hidden="1" x14ac:dyDescent="0.25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hidden="1" x14ac:dyDescent="0.25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hidden="1" x14ac:dyDescent="0.25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hidden="1" x14ac:dyDescent="0.25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hidden="1" x14ac:dyDescent="0.25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hidden="1" x14ac:dyDescent="0.25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hidden="1" x14ac:dyDescent="0.25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hidden="1" x14ac:dyDescent="0.25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hidden="1" x14ac:dyDescent="0.25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hidden="1" x14ac:dyDescent="0.25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hidden="1" x14ac:dyDescent="0.25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hidden="1" x14ac:dyDescent="0.25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hidden="1" x14ac:dyDescent="0.25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hidden="1" x14ac:dyDescent="0.25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hidden="1" x14ac:dyDescent="0.25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hidden="1" x14ac:dyDescent="0.25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hidden="1" x14ac:dyDescent="0.25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hidden="1" x14ac:dyDescent="0.25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hidden="1" x14ac:dyDescent="0.25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hidden="1" x14ac:dyDescent="0.25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hidden="1" x14ac:dyDescent="0.25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hidden="1" x14ac:dyDescent="0.25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hidden="1" x14ac:dyDescent="0.25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hidden="1" x14ac:dyDescent="0.25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hidden="1" x14ac:dyDescent="0.25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hidden="1" x14ac:dyDescent="0.25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hidden="1" x14ac:dyDescent="0.25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hidden="1" x14ac:dyDescent="0.25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hidden="1" x14ac:dyDescent="0.25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hidden="1" x14ac:dyDescent="0.25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hidden="1" x14ac:dyDescent="0.25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hidden="1" x14ac:dyDescent="0.25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hidden="1" x14ac:dyDescent="0.25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hidden="1" x14ac:dyDescent="0.25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hidden="1" x14ac:dyDescent="0.25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hidden="1" x14ac:dyDescent="0.25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hidden="1" x14ac:dyDescent="0.25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hidden="1" x14ac:dyDescent="0.25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hidden="1" x14ac:dyDescent="0.25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hidden="1" x14ac:dyDescent="0.25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hidden="1" x14ac:dyDescent="0.25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hidden="1" x14ac:dyDescent="0.25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hidden="1" x14ac:dyDescent="0.25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hidden="1" x14ac:dyDescent="0.25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hidden="1" x14ac:dyDescent="0.25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hidden="1" x14ac:dyDescent="0.25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hidden="1" x14ac:dyDescent="0.25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hidden="1" x14ac:dyDescent="0.25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hidden="1" x14ac:dyDescent="0.25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hidden="1" x14ac:dyDescent="0.25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hidden="1" x14ac:dyDescent="0.25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hidden="1" x14ac:dyDescent="0.25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hidden="1" x14ac:dyDescent="0.25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hidden="1" x14ac:dyDescent="0.25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hidden="1" x14ac:dyDescent="0.25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hidden="1" x14ac:dyDescent="0.25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hidden="1" x14ac:dyDescent="0.25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hidden="1" x14ac:dyDescent="0.25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hidden="1" x14ac:dyDescent="0.25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hidden="1" x14ac:dyDescent="0.25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hidden="1" x14ac:dyDescent="0.25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hidden="1" x14ac:dyDescent="0.25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hidden="1" x14ac:dyDescent="0.25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hidden="1" x14ac:dyDescent="0.25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hidden="1" x14ac:dyDescent="0.25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hidden="1" x14ac:dyDescent="0.25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hidden="1" x14ac:dyDescent="0.25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hidden="1" x14ac:dyDescent="0.25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hidden="1" x14ac:dyDescent="0.25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hidden="1" x14ac:dyDescent="0.25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hidden="1" x14ac:dyDescent="0.25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hidden="1" x14ac:dyDescent="0.25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hidden="1" x14ac:dyDescent="0.25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hidden="1" x14ac:dyDescent="0.25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hidden="1" x14ac:dyDescent="0.25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hidden="1" x14ac:dyDescent="0.25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hidden="1" x14ac:dyDescent="0.25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hidden="1" x14ac:dyDescent="0.25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hidden="1" x14ac:dyDescent="0.25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hidden="1" x14ac:dyDescent="0.25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hidden="1" x14ac:dyDescent="0.25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hidden="1" x14ac:dyDescent="0.25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hidden="1" x14ac:dyDescent="0.25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hidden="1" x14ac:dyDescent="0.25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hidden="1" x14ac:dyDescent="0.25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hidden="1" x14ac:dyDescent="0.25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hidden="1" x14ac:dyDescent="0.25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hidden="1" x14ac:dyDescent="0.25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hidden="1" x14ac:dyDescent="0.25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hidden="1" x14ac:dyDescent="0.25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hidden="1" x14ac:dyDescent="0.25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hidden="1" x14ac:dyDescent="0.25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hidden="1" x14ac:dyDescent="0.25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hidden="1" x14ac:dyDescent="0.25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hidden="1" x14ac:dyDescent="0.25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hidden="1" x14ac:dyDescent="0.25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hidden="1" x14ac:dyDescent="0.25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hidden="1" x14ac:dyDescent="0.25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hidden="1" x14ac:dyDescent="0.25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hidden="1" x14ac:dyDescent="0.25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hidden="1" x14ac:dyDescent="0.25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hidden="1" x14ac:dyDescent="0.25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hidden="1" x14ac:dyDescent="0.25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hidden="1" x14ac:dyDescent="0.25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hidden="1" x14ac:dyDescent="0.25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hidden="1" x14ac:dyDescent="0.25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hidden="1" x14ac:dyDescent="0.25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hidden="1" x14ac:dyDescent="0.25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hidden="1" x14ac:dyDescent="0.25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hidden="1" x14ac:dyDescent="0.25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hidden="1" x14ac:dyDescent="0.25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hidden="1" x14ac:dyDescent="0.25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hidden="1" x14ac:dyDescent="0.25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hidden="1" x14ac:dyDescent="0.25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hidden="1" x14ac:dyDescent="0.25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hidden="1" x14ac:dyDescent="0.25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hidden="1" x14ac:dyDescent="0.25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hidden="1" x14ac:dyDescent="0.25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hidden="1" x14ac:dyDescent="0.25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hidden="1" x14ac:dyDescent="0.25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hidden="1" x14ac:dyDescent="0.25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hidden="1" x14ac:dyDescent="0.25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hidden="1" x14ac:dyDescent="0.25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hidden="1" x14ac:dyDescent="0.25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hidden="1" x14ac:dyDescent="0.25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hidden="1" x14ac:dyDescent="0.25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hidden="1" x14ac:dyDescent="0.25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hidden="1" x14ac:dyDescent="0.25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hidden="1" x14ac:dyDescent="0.25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hidden="1" x14ac:dyDescent="0.25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hidden="1" x14ac:dyDescent="0.25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hidden="1" x14ac:dyDescent="0.25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hidden="1" x14ac:dyDescent="0.25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hidden="1" x14ac:dyDescent="0.25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hidden="1" x14ac:dyDescent="0.25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hidden="1" x14ac:dyDescent="0.25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hidden="1" x14ac:dyDescent="0.25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hidden="1" x14ac:dyDescent="0.25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hidden="1" x14ac:dyDescent="0.25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hidden="1" x14ac:dyDescent="0.25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hidden="1" x14ac:dyDescent="0.25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hidden="1" x14ac:dyDescent="0.25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hidden="1" x14ac:dyDescent="0.25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hidden="1" x14ac:dyDescent="0.25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hidden="1" x14ac:dyDescent="0.25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hidden="1" x14ac:dyDescent="0.25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hidden="1" x14ac:dyDescent="0.25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hidden="1" x14ac:dyDescent="0.25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hidden="1" x14ac:dyDescent="0.25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hidden="1" x14ac:dyDescent="0.25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hidden="1" x14ac:dyDescent="0.25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hidden="1" x14ac:dyDescent="0.25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hidden="1" x14ac:dyDescent="0.25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hidden="1" x14ac:dyDescent="0.25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hidden="1" x14ac:dyDescent="0.25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hidden="1" x14ac:dyDescent="0.25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hidden="1" x14ac:dyDescent="0.25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hidden="1" x14ac:dyDescent="0.25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hidden="1" x14ac:dyDescent="0.25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hidden="1" x14ac:dyDescent="0.25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hidden="1" x14ac:dyDescent="0.25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hidden="1" x14ac:dyDescent="0.25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hidden="1" x14ac:dyDescent="0.25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hidden="1" x14ac:dyDescent="0.25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hidden="1" x14ac:dyDescent="0.25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hidden="1" x14ac:dyDescent="0.25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hidden="1" x14ac:dyDescent="0.25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hidden="1" x14ac:dyDescent="0.25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hidden="1" x14ac:dyDescent="0.25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hidden="1" x14ac:dyDescent="0.25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hidden="1" x14ac:dyDescent="0.25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hidden="1" x14ac:dyDescent="0.25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hidden="1" x14ac:dyDescent="0.25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hidden="1" x14ac:dyDescent="0.25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hidden="1" x14ac:dyDescent="0.25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hidden="1" x14ac:dyDescent="0.25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hidden="1" x14ac:dyDescent="0.25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hidden="1" x14ac:dyDescent="0.25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hidden="1" x14ac:dyDescent="0.25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hidden="1" x14ac:dyDescent="0.25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hidden="1" x14ac:dyDescent="0.25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hidden="1" x14ac:dyDescent="0.25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hidden="1" x14ac:dyDescent="0.25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hidden="1" x14ac:dyDescent="0.25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hidden="1" x14ac:dyDescent="0.25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hidden="1" x14ac:dyDescent="0.25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hidden="1" x14ac:dyDescent="0.25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hidden="1" x14ac:dyDescent="0.25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hidden="1" x14ac:dyDescent="0.25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hidden="1" x14ac:dyDescent="0.25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hidden="1" x14ac:dyDescent="0.25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hidden="1" x14ac:dyDescent="0.25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hidden="1" x14ac:dyDescent="0.25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hidden="1" x14ac:dyDescent="0.25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hidden="1" x14ac:dyDescent="0.25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hidden="1" x14ac:dyDescent="0.25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hidden="1" x14ac:dyDescent="0.25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hidden="1" x14ac:dyDescent="0.25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hidden="1" x14ac:dyDescent="0.25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hidden="1" x14ac:dyDescent="0.25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hidden="1" x14ac:dyDescent="0.25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hidden="1" x14ac:dyDescent="0.25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hidden="1" x14ac:dyDescent="0.25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hidden="1" x14ac:dyDescent="0.25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hidden="1" x14ac:dyDescent="0.25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hidden="1" x14ac:dyDescent="0.25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hidden="1" x14ac:dyDescent="0.25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hidden="1" x14ac:dyDescent="0.25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hidden="1" x14ac:dyDescent="0.25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hidden="1" x14ac:dyDescent="0.25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hidden="1" x14ac:dyDescent="0.25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hidden="1" x14ac:dyDescent="0.25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hidden="1" x14ac:dyDescent="0.25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hidden="1" x14ac:dyDescent="0.25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hidden="1" x14ac:dyDescent="0.25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hidden="1" x14ac:dyDescent="0.25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hidden="1" x14ac:dyDescent="0.25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hidden="1" x14ac:dyDescent="0.25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hidden="1" x14ac:dyDescent="0.25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hidden="1" x14ac:dyDescent="0.25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hidden="1" x14ac:dyDescent="0.25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hidden="1" x14ac:dyDescent="0.25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hidden="1" x14ac:dyDescent="0.25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hidden="1" x14ac:dyDescent="0.25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hidden="1" x14ac:dyDescent="0.25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hidden="1" x14ac:dyDescent="0.25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hidden="1" x14ac:dyDescent="0.25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hidden="1" x14ac:dyDescent="0.25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hidden="1" x14ac:dyDescent="0.25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hidden="1" x14ac:dyDescent="0.25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hidden="1" x14ac:dyDescent="0.25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hidden="1" x14ac:dyDescent="0.25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hidden="1" x14ac:dyDescent="0.25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hidden="1" x14ac:dyDescent="0.25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hidden="1" x14ac:dyDescent="0.25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hidden="1" x14ac:dyDescent="0.25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hidden="1" x14ac:dyDescent="0.25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hidden="1" x14ac:dyDescent="0.25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hidden="1" x14ac:dyDescent="0.25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hidden="1" x14ac:dyDescent="0.25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hidden="1" x14ac:dyDescent="0.25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hidden="1" x14ac:dyDescent="0.25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hidden="1" x14ac:dyDescent="0.25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hidden="1" x14ac:dyDescent="0.25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hidden="1" x14ac:dyDescent="0.25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hidden="1" x14ac:dyDescent="0.25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hidden="1" x14ac:dyDescent="0.25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hidden="1" x14ac:dyDescent="0.25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hidden="1" x14ac:dyDescent="0.25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hidden="1" x14ac:dyDescent="0.25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hidden="1" x14ac:dyDescent="0.25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hidden="1" x14ac:dyDescent="0.25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hidden="1" x14ac:dyDescent="0.25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hidden="1" x14ac:dyDescent="0.25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hidden="1" x14ac:dyDescent="0.25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hidden="1" x14ac:dyDescent="0.25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hidden="1" x14ac:dyDescent="0.25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hidden="1" x14ac:dyDescent="0.25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hidden="1" x14ac:dyDescent="0.25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hidden="1" x14ac:dyDescent="0.25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hidden="1" x14ac:dyDescent="0.25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hidden="1" x14ac:dyDescent="0.25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hidden="1" x14ac:dyDescent="0.25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hidden="1" x14ac:dyDescent="0.25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hidden="1" x14ac:dyDescent="0.25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hidden="1" x14ac:dyDescent="0.25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hidden="1" x14ac:dyDescent="0.25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hidden="1" x14ac:dyDescent="0.25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hidden="1" x14ac:dyDescent="0.25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hidden="1" x14ac:dyDescent="0.25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hidden="1" x14ac:dyDescent="0.25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hidden="1" x14ac:dyDescent="0.25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hidden="1" x14ac:dyDescent="0.25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hidden="1" x14ac:dyDescent="0.25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hidden="1" x14ac:dyDescent="0.25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hidden="1" x14ac:dyDescent="0.25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hidden="1" x14ac:dyDescent="0.25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hidden="1" x14ac:dyDescent="0.25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hidden="1" x14ac:dyDescent="0.25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hidden="1" x14ac:dyDescent="0.25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hidden="1" x14ac:dyDescent="0.25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hidden="1" x14ac:dyDescent="0.25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hidden="1" x14ac:dyDescent="0.25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hidden="1" x14ac:dyDescent="0.25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hidden="1" x14ac:dyDescent="0.25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hidden="1" x14ac:dyDescent="0.25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hidden="1" x14ac:dyDescent="0.25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hidden="1" x14ac:dyDescent="0.25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hidden="1" x14ac:dyDescent="0.25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hidden="1" x14ac:dyDescent="0.25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hidden="1" x14ac:dyDescent="0.25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hidden="1" x14ac:dyDescent="0.25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hidden="1" x14ac:dyDescent="0.25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hidden="1" x14ac:dyDescent="0.25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hidden="1" x14ac:dyDescent="0.25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hidden="1" x14ac:dyDescent="0.25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hidden="1" x14ac:dyDescent="0.25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hidden="1" x14ac:dyDescent="0.25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hidden="1" x14ac:dyDescent="0.25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hidden="1" x14ac:dyDescent="0.25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hidden="1" x14ac:dyDescent="0.25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hidden="1" x14ac:dyDescent="0.25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hidden="1" x14ac:dyDescent="0.25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hidden="1" x14ac:dyDescent="0.25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hidden="1" x14ac:dyDescent="0.25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hidden="1" x14ac:dyDescent="0.25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hidden="1" x14ac:dyDescent="0.25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hidden="1" x14ac:dyDescent="0.25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hidden="1" x14ac:dyDescent="0.25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hidden="1" x14ac:dyDescent="0.25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hidden="1" x14ac:dyDescent="0.25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hidden="1" x14ac:dyDescent="0.25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hidden="1" x14ac:dyDescent="0.25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hidden="1" x14ac:dyDescent="0.25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hidden="1" x14ac:dyDescent="0.25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hidden="1" x14ac:dyDescent="0.25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hidden="1" x14ac:dyDescent="0.25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hidden="1" x14ac:dyDescent="0.25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hidden="1" x14ac:dyDescent="0.25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hidden="1" x14ac:dyDescent="0.25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hidden="1" x14ac:dyDescent="0.25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hidden="1" x14ac:dyDescent="0.25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hidden="1" x14ac:dyDescent="0.25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hidden="1" x14ac:dyDescent="0.25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hidden="1" x14ac:dyDescent="0.25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hidden="1" x14ac:dyDescent="0.25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hidden="1" x14ac:dyDescent="0.25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hidden="1" x14ac:dyDescent="0.25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hidden="1" x14ac:dyDescent="0.25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hidden="1" x14ac:dyDescent="0.25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hidden="1" x14ac:dyDescent="0.25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hidden="1" x14ac:dyDescent="0.25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hidden="1" x14ac:dyDescent="0.25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hidden="1" x14ac:dyDescent="0.25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hidden="1" x14ac:dyDescent="0.25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hidden="1" x14ac:dyDescent="0.25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hidden="1" x14ac:dyDescent="0.25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hidden="1" x14ac:dyDescent="0.25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hidden="1" x14ac:dyDescent="0.25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hidden="1" x14ac:dyDescent="0.25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hidden="1" x14ac:dyDescent="0.25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hidden="1" x14ac:dyDescent="0.25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hidden="1" x14ac:dyDescent="0.25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hidden="1" x14ac:dyDescent="0.25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hidden="1" x14ac:dyDescent="0.25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hidden="1" x14ac:dyDescent="0.25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hidden="1" x14ac:dyDescent="0.25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hidden="1" x14ac:dyDescent="0.25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hidden="1" x14ac:dyDescent="0.25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hidden="1" x14ac:dyDescent="0.25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hidden="1" x14ac:dyDescent="0.25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hidden="1" x14ac:dyDescent="0.25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hidden="1" x14ac:dyDescent="0.25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hidden="1" x14ac:dyDescent="0.25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hidden="1" x14ac:dyDescent="0.25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hidden="1" x14ac:dyDescent="0.25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hidden="1" x14ac:dyDescent="0.25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hidden="1" x14ac:dyDescent="0.25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hidden="1" x14ac:dyDescent="0.25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hidden="1" x14ac:dyDescent="0.25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hidden="1" x14ac:dyDescent="0.25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hidden="1" x14ac:dyDescent="0.25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hidden="1" x14ac:dyDescent="0.25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hidden="1" x14ac:dyDescent="0.25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hidden="1" x14ac:dyDescent="0.25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hidden="1" x14ac:dyDescent="0.25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hidden="1" x14ac:dyDescent="0.25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hidden="1" x14ac:dyDescent="0.25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hidden="1" x14ac:dyDescent="0.25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hidden="1" x14ac:dyDescent="0.25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hidden="1" x14ac:dyDescent="0.25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hidden="1" x14ac:dyDescent="0.25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hidden="1" x14ac:dyDescent="0.25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hidden="1" x14ac:dyDescent="0.25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hidden="1" x14ac:dyDescent="0.25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hidden="1" x14ac:dyDescent="0.25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hidden="1" x14ac:dyDescent="0.25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hidden="1" x14ac:dyDescent="0.25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hidden="1" x14ac:dyDescent="0.25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hidden="1" x14ac:dyDescent="0.25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hidden="1" x14ac:dyDescent="0.25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hidden="1" x14ac:dyDescent="0.25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hidden="1" x14ac:dyDescent="0.25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hidden="1" x14ac:dyDescent="0.25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hidden="1" x14ac:dyDescent="0.25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hidden="1" x14ac:dyDescent="0.25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hidden="1" x14ac:dyDescent="0.25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hidden="1" x14ac:dyDescent="0.25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hidden="1" x14ac:dyDescent="0.25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hidden="1" x14ac:dyDescent="0.25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hidden="1" x14ac:dyDescent="0.25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hidden="1" x14ac:dyDescent="0.25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hidden="1" x14ac:dyDescent="0.25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hidden="1" x14ac:dyDescent="0.25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hidden="1" x14ac:dyDescent="0.25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hidden="1" x14ac:dyDescent="0.25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hidden="1" x14ac:dyDescent="0.25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hidden="1" x14ac:dyDescent="0.25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hidden="1" x14ac:dyDescent="0.25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hidden="1" x14ac:dyDescent="0.25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hidden="1" x14ac:dyDescent="0.25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hidden="1" x14ac:dyDescent="0.25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hidden="1" x14ac:dyDescent="0.25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hidden="1" x14ac:dyDescent="0.25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hidden="1" x14ac:dyDescent="0.25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hidden="1" x14ac:dyDescent="0.25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hidden="1" x14ac:dyDescent="0.25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hidden="1" x14ac:dyDescent="0.25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hidden="1" x14ac:dyDescent="0.25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hidden="1" x14ac:dyDescent="0.25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hidden="1" x14ac:dyDescent="0.25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hidden="1" x14ac:dyDescent="0.25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hidden="1" x14ac:dyDescent="0.25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hidden="1" x14ac:dyDescent="0.25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hidden="1" x14ac:dyDescent="0.25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hidden="1" x14ac:dyDescent="0.25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hidden="1" x14ac:dyDescent="0.25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hidden="1" x14ac:dyDescent="0.25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hidden="1" x14ac:dyDescent="0.25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hidden="1" x14ac:dyDescent="0.25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hidden="1" x14ac:dyDescent="0.25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hidden="1" x14ac:dyDescent="0.25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hidden="1" x14ac:dyDescent="0.25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hidden="1" x14ac:dyDescent="0.25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hidden="1" x14ac:dyDescent="0.25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hidden="1" x14ac:dyDescent="0.25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hidden="1" x14ac:dyDescent="0.25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hidden="1" x14ac:dyDescent="0.25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hidden="1" x14ac:dyDescent="0.25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hidden="1" x14ac:dyDescent="0.25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hidden="1" x14ac:dyDescent="0.25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hidden="1" x14ac:dyDescent="0.25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hidden="1" x14ac:dyDescent="0.25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hidden="1" x14ac:dyDescent="0.25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hidden="1" x14ac:dyDescent="0.25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hidden="1" x14ac:dyDescent="0.25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hidden="1" x14ac:dyDescent="0.25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hidden="1" x14ac:dyDescent="0.25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hidden="1" x14ac:dyDescent="0.25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hidden="1" x14ac:dyDescent="0.25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hidden="1" x14ac:dyDescent="0.25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hidden="1" x14ac:dyDescent="0.25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hidden="1" x14ac:dyDescent="0.25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hidden="1" x14ac:dyDescent="0.25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hidden="1" x14ac:dyDescent="0.25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hidden="1" x14ac:dyDescent="0.25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hidden="1" x14ac:dyDescent="0.25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hidden="1" x14ac:dyDescent="0.25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hidden="1" x14ac:dyDescent="0.25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hidden="1" x14ac:dyDescent="0.25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hidden="1" x14ac:dyDescent="0.25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hidden="1" x14ac:dyDescent="0.25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hidden="1" x14ac:dyDescent="0.25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hidden="1" x14ac:dyDescent="0.25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hidden="1" x14ac:dyDescent="0.25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hidden="1" x14ac:dyDescent="0.25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hidden="1" x14ac:dyDescent="0.25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hidden="1" x14ac:dyDescent="0.25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hidden="1" x14ac:dyDescent="0.25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hidden="1" x14ac:dyDescent="0.25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hidden="1" x14ac:dyDescent="0.25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hidden="1" x14ac:dyDescent="0.25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hidden="1" x14ac:dyDescent="0.25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hidden="1" x14ac:dyDescent="0.25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hidden="1" x14ac:dyDescent="0.25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hidden="1" x14ac:dyDescent="0.25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hidden="1" x14ac:dyDescent="0.25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hidden="1" x14ac:dyDescent="0.25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hidden="1" x14ac:dyDescent="0.25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hidden="1" x14ac:dyDescent="0.25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hidden="1" x14ac:dyDescent="0.25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hidden="1" x14ac:dyDescent="0.25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hidden="1" x14ac:dyDescent="0.25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hidden="1" x14ac:dyDescent="0.25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hidden="1" x14ac:dyDescent="0.25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hidden="1" x14ac:dyDescent="0.25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hidden="1" x14ac:dyDescent="0.25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hidden="1" x14ac:dyDescent="0.25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hidden="1" x14ac:dyDescent="0.25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hidden="1" x14ac:dyDescent="0.25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hidden="1" x14ac:dyDescent="0.25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hidden="1" x14ac:dyDescent="0.25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hidden="1" x14ac:dyDescent="0.25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hidden="1" x14ac:dyDescent="0.25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hidden="1" x14ac:dyDescent="0.25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hidden="1" x14ac:dyDescent="0.25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hidden="1" x14ac:dyDescent="0.25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hidden="1" x14ac:dyDescent="0.25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hidden="1" x14ac:dyDescent="0.25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hidden="1" x14ac:dyDescent="0.25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hidden="1" x14ac:dyDescent="0.25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hidden="1" x14ac:dyDescent="0.25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hidden="1" x14ac:dyDescent="0.25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hidden="1" x14ac:dyDescent="0.25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hidden="1" x14ac:dyDescent="0.25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hidden="1" x14ac:dyDescent="0.25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hidden="1" x14ac:dyDescent="0.25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hidden="1" x14ac:dyDescent="0.25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hidden="1" x14ac:dyDescent="0.25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hidden="1" x14ac:dyDescent="0.25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hidden="1" x14ac:dyDescent="0.25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hidden="1" x14ac:dyDescent="0.25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hidden="1" x14ac:dyDescent="0.25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hidden="1" x14ac:dyDescent="0.25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hidden="1" x14ac:dyDescent="0.25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hidden="1" x14ac:dyDescent="0.25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hidden="1" x14ac:dyDescent="0.25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hidden="1" x14ac:dyDescent="0.25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hidden="1" x14ac:dyDescent="0.25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hidden="1" x14ac:dyDescent="0.25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hidden="1" x14ac:dyDescent="0.25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hidden="1" x14ac:dyDescent="0.25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hidden="1" x14ac:dyDescent="0.25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hidden="1" x14ac:dyDescent="0.25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hidden="1" x14ac:dyDescent="0.25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hidden="1" x14ac:dyDescent="0.25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hidden="1" x14ac:dyDescent="0.25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hidden="1" x14ac:dyDescent="0.25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hidden="1" x14ac:dyDescent="0.25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hidden="1" x14ac:dyDescent="0.25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hidden="1" x14ac:dyDescent="0.25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hidden="1" x14ac:dyDescent="0.25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hidden="1" x14ac:dyDescent="0.25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hidden="1" x14ac:dyDescent="0.25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hidden="1" x14ac:dyDescent="0.25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hidden="1" x14ac:dyDescent="0.25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hidden="1" x14ac:dyDescent="0.25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hidden="1" x14ac:dyDescent="0.25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hidden="1" x14ac:dyDescent="0.25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hidden="1" x14ac:dyDescent="0.25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hidden="1" x14ac:dyDescent="0.25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hidden="1" x14ac:dyDescent="0.25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hidden="1" x14ac:dyDescent="0.25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hidden="1" x14ac:dyDescent="0.25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hidden="1" x14ac:dyDescent="0.25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hidden="1" x14ac:dyDescent="0.25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hidden="1" x14ac:dyDescent="0.25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hidden="1" x14ac:dyDescent="0.25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hidden="1" x14ac:dyDescent="0.25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hidden="1" x14ac:dyDescent="0.25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hidden="1" x14ac:dyDescent="0.25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hidden="1" x14ac:dyDescent="0.25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hidden="1" x14ac:dyDescent="0.25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hidden="1" x14ac:dyDescent="0.25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hidden="1" x14ac:dyDescent="0.25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hidden="1" x14ac:dyDescent="0.25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hidden="1" x14ac:dyDescent="0.25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hidden="1" x14ac:dyDescent="0.25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hidden="1" x14ac:dyDescent="0.25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hidden="1" x14ac:dyDescent="0.25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hidden="1" x14ac:dyDescent="0.25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hidden="1" x14ac:dyDescent="0.25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hidden="1" x14ac:dyDescent="0.25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hidden="1" x14ac:dyDescent="0.25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hidden="1" x14ac:dyDescent="0.25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hidden="1" x14ac:dyDescent="0.25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hidden="1" x14ac:dyDescent="0.25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hidden="1" x14ac:dyDescent="0.25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hidden="1" x14ac:dyDescent="0.25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hidden="1" x14ac:dyDescent="0.25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hidden="1" x14ac:dyDescent="0.25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hidden="1" x14ac:dyDescent="0.25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hidden="1" x14ac:dyDescent="0.25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hidden="1" x14ac:dyDescent="0.25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hidden="1" x14ac:dyDescent="0.25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hidden="1" x14ac:dyDescent="0.25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hidden="1" x14ac:dyDescent="0.25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hidden="1" x14ac:dyDescent="0.25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hidden="1" x14ac:dyDescent="0.25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hidden="1" x14ac:dyDescent="0.25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hidden="1" x14ac:dyDescent="0.25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hidden="1" x14ac:dyDescent="0.25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hidden="1" x14ac:dyDescent="0.25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hidden="1" x14ac:dyDescent="0.25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hidden="1" x14ac:dyDescent="0.25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hidden="1" x14ac:dyDescent="0.25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hidden="1" x14ac:dyDescent="0.25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hidden="1" x14ac:dyDescent="0.25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hidden="1" x14ac:dyDescent="0.25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hidden="1" x14ac:dyDescent="0.25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hidden="1" x14ac:dyDescent="0.25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hidden="1" x14ac:dyDescent="0.25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hidden="1" x14ac:dyDescent="0.25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hidden="1" x14ac:dyDescent="0.25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hidden="1" x14ac:dyDescent="0.25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hidden="1" x14ac:dyDescent="0.25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hidden="1" x14ac:dyDescent="0.25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hidden="1" x14ac:dyDescent="0.25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hidden="1" x14ac:dyDescent="0.25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hidden="1" x14ac:dyDescent="0.25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hidden="1" x14ac:dyDescent="0.25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hidden="1" x14ac:dyDescent="0.25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hidden="1" x14ac:dyDescent="0.25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hidden="1" x14ac:dyDescent="0.25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hidden="1" x14ac:dyDescent="0.25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hidden="1" x14ac:dyDescent="0.25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hidden="1" x14ac:dyDescent="0.25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hidden="1" x14ac:dyDescent="0.25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hidden="1" x14ac:dyDescent="0.25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hidden="1" x14ac:dyDescent="0.25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hidden="1" x14ac:dyDescent="0.25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hidden="1" x14ac:dyDescent="0.25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hidden="1" x14ac:dyDescent="0.25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hidden="1" x14ac:dyDescent="0.25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hidden="1" x14ac:dyDescent="0.25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hidden="1" x14ac:dyDescent="0.25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hidden="1" x14ac:dyDescent="0.25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hidden="1" x14ac:dyDescent="0.25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hidden="1" x14ac:dyDescent="0.25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hidden="1" x14ac:dyDescent="0.25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hidden="1" x14ac:dyDescent="0.25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hidden="1" x14ac:dyDescent="0.25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hidden="1" x14ac:dyDescent="0.25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hidden="1" x14ac:dyDescent="0.25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hidden="1" x14ac:dyDescent="0.25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hidden="1" x14ac:dyDescent="0.25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hidden="1" x14ac:dyDescent="0.25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hidden="1" x14ac:dyDescent="0.25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hidden="1" x14ac:dyDescent="0.25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hidden="1" x14ac:dyDescent="0.25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hidden="1" x14ac:dyDescent="0.25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hidden="1" x14ac:dyDescent="0.25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hidden="1" x14ac:dyDescent="0.25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hidden="1" x14ac:dyDescent="0.25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hidden="1" x14ac:dyDescent="0.25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hidden="1" x14ac:dyDescent="0.25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hidden="1" x14ac:dyDescent="0.25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hidden="1" x14ac:dyDescent="0.25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hidden="1" x14ac:dyDescent="0.25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hidden="1" x14ac:dyDescent="0.25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hidden="1" x14ac:dyDescent="0.25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hidden="1" x14ac:dyDescent="0.25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hidden="1" x14ac:dyDescent="0.25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hidden="1" x14ac:dyDescent="0.25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hidden="1" x14ac:dyDescent="0.25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hidden="1" x14ac:dyDescent="0.25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hidden="1" x14ac:dyDescent="0.25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hidden="1" x14ac:dyDescent="0.25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hidden="1" x14ac:dyDescent="0.25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hidden="1" x14ac:dyDescent="0.25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hidden="1" x14ac:dyDescent="0.25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hidden="1" x14ac:dyDescent="0.25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hidden="1" x14ac:dyDescent="0.25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hidden="1" x14ac:dyDescent="0.25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hidden="1" x14ac:dyDescent="0.25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hidden="1" x14ac:dyDescent="0.25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hidden="1" x14ac:dyDescent="0.25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hidden="1" x14ac:dyDescent="0.25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hidden="1" x14ac:dyDescent="0.25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hidden="1" x14ac:dyDescent="0.25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hidden="1" x14ac:dyDescent="0.25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hidden="1" x14ac:dyDescent="0.25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hidden="1" x14ac:dyDescent="0.25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hidden="1" x14ac:dyDescent="0.25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hidden="1" x14ac:dyDescent="0.25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hidden="1" x14ac:dyDescent="0.25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hidden="1" x14ac:dyDescent="0.25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hidden="1" x14ac:dyDescent="0.25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hidden="1" x14ac:dyDescent="0.25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hidden="1" x14ac:dyDescent="0.25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hidden="1" x14ac:dyDescent="0.25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hidden="1" x14ac:dyDescent="0.25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hidden="1" x14ac:dyDescent="0.25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hidden="1" x14ac:dyDescent="0.25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hidden="1" x14ac:dyDescent="0.25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hidden="1" x14ac:dyDescent="0.25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hidden="1" x14ac:dyDescent="0.25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hidden="1" x14ac:dyDescent="0.25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hidden="1" x14ac:dyDescent="0.25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hidden="1" x14ac:dyDescent="0.25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hidden="1" x14ac:dyDescent="0.25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hidden="1" x14ac:dyDescent="0.25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hidden="1" x14ac:dyDescent="0.25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hidden="1" x14ac:dyDescent="0.25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hidden="1" x14ac:dyDescent="0.25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hidden="1" x14ac:dyDescent="0.25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hidden="1" x14ac:dyDescent="0.25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hidden="1" x14ac:dyDescent="0.25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hidden="1" x14ac:dyDescent="0.25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hidden="1" x14ac:dyDescent="0.25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hidden="1" x14ac:dyDescent="0.25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hidden="1" x14ac:dyDescent="0.25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hidden="1" x14ac:dyDescent="0.25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hidden="1" x14ac:dyDescent="0.25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hidden="1" x14ac:dyDescent="0.25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hidden="1" x14ac:dyDescent="0.25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hidden="1" x14ac:dyDescent="0.25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hidden="1" x14ac:dyDescent="0.25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hidden="1" x14ac:dyDescent="0.25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hidden="1" x14ac:dyDescent="0.25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hidden="1" x14ac:dyDescent="0.25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hidden="1" x14ac:dyDescent="0.25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hidden="1" x14ac:dyDescent="0.25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hidden="1" x14ac:dyDescent="0.25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hidden="1" x14ac:dyDescent="0.25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hidden="1" x14ac:dyDescent="0.25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hidden="1" x14ac:dyDescent="0.25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hidden="1" x14ac:dyDescent="0.25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hidden="1" x14ac:dyDescent="0.25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hidden="1" x14ac:dyDescent="0.25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hidden="1" x14ac:dyDescent="0.25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hidden="1" x14ac:dyDescent="0.25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hidden="1" x14ac:dyDescent="0.25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hidden="1" x14ac:dyDescent="0.25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hidden="1" x14ac:dyDescent="0.25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hidden="1" x14ac:dyDescent="0.25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hidden="1" x14ac:dyDescent="0.25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hidden="1" x14ac:dyDescent="0.25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hidden="1" x14ac:dyDescent="0.25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hidden="1" x14ac:dyDescent="0.25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hidden="1" x14ac:dyDescent="0.25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hidden="1" x14ac:dyDescent="0.25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hidden="1" x14ac:dyDescent="0.25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hidden="1" x14ac:dyDescent="0.25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hidden="1" x14ac:dyDescent="0.25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hidden="1" x14ac:dyDescent="0.25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hidden="1" x14ac:dyDescent="0.25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hidden="1" x14ac:dyDescent="0.25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hidden="1" x14ac:dyDescent="0.25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hidden="1" x14ac:dyDescent="0.25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hidden="1" x14ac:dyDescent="0.25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hidden="1" x14ac:dyDescent="0.25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hidden="1" x14ac:dyDescent="0.25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hidden="1" x14ac:dyDescent="0.25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hidden="1" x14ac:dyDescent="0.25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hidden="1" x14ac:dyDescent="0.25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hidden="1" x14ac:dyDescent="0.25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hidden="1" x14ac:dyDescent="0.25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hidden="1" x14ac:dyDescent="0.25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hidden="1" x14ac:dyDescent="0.25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hidden="1" x14ac:dyDescent="0.25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hidden="1" x14ac:dyDescent="0.25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hidden="1" x14ac:dyDescent="0.25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hidden="1" x14ac:dyDescent="0.25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hidden="1" x14ac:dyDescent="0.25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hidden="1" x14ac:dyDescent="0.25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hidden="1" x14ac:dyDescent="0.25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hidden="1" x14ac:dyDescent="0.25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hidden="1" x14ac:dyDescent="0.25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hidden="1" x14ac:dyDescent="0.25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hidden="1" x14ac:dyDescent="0.25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hidden="1" x14ac:dyDescent="0.25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hidden="1" x14ac:dyDescent="0.25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hidden="1" x14ac:dyDescent="0.25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hidden="1" x14ac:dyDescent="0.25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hidden="1" x14ac:dyDescent="0.25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hidden="1" x14ac:dyDescent="0.25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hidden="1" x14ac:dyDescent="0.25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hidden="1" x14ac:dyDescent="0.25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hidden="1" x14ac:dyDescent="0.25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hidden="1" x14ac:dyDescent="0.25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hidden="1" x14ac:dyDescent="0.25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hidden="1" x14ac:dyDescent="0.25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hidden="1" x14ac:dyDescent="0.25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hidden="1" x14ac:dyDescent="0.25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hidden="1" x14ac:dyDescent="0.25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hidden="1" x14ac:dyDescent="0.25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hidden="1" x14ac:dyDescent="0.25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hidden="1" x14ac:dyDescent="0.25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hidden="1" x14ac:dyDescent="0.25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hidden="1" x14ac:dyDescent="0.25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hidden="1" x14ac:dyDescent="0.25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hidden="1" x14ac:dyDescent="0.25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hidden="1" x14ac:dyDescent="0.25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hidden="1" x14ac:dyDescent="0.25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hidden="1" x14ac:dyDescent="0.25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hidden="1" x14ac:dyDescent="0.25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hidden="1" x14ac:dyDescent="0.25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hidden="1" x14ac:dyDescent="0.25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hidden="1" x14ac:dyDescent="0.25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hidden="1" x14ac:dyDescent="0.25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hidden="1" x14ac:dyDescent="0.25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hidden="1" x14ac:dyDescent="0.25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hidden="1" x14ac:dyDescent="0.25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hidden="1" x14ac:dyDescent="0.25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hidden="1" x14ac:dyDescent="0.25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hidden="1" x14ac:dyDescent="0.25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hidden="1" x14ac:dyDescent="0.25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hidden="1" x14ac:dyDescent="0.25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hidden="1" x14ac:dyDescent="0.25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hidden="1" x14ac:dyDescent="0.25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hidden="1" x14ac:dyDescent="0.25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hidden="1" x14ac:dyDescent="0.25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hidden="1" x14ac:dyDescent="0.25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hidden="1" x14ac:dyDescent="0.25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hidden="1" x14ac:dyDescent="0.25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hidden="1" x14ac:dyDescent="0.25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hidden="1" x14ac:dyDescent="0.25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hidden="1" x14ac:dyDescent="0.25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hidden="1" x14ac:dyDescent="0.25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hidden="1" x14ac:dyDescent="0.25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hidden="1" x14ac:dyDescent="0.25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hidden="1" x14ac:dyDescent="0.25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hidden="1" x14ac:dyDescent="0.25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hidden="1" x14ac:dyDescent="0.25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hidden="1" x14ac:dyDescent="0.25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hidden="1" x14ac:dyDescent="0.25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hidden="1" x14ac:dyDescent="0.25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hidden="1" x14ac:dyDescent="0.25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hidden="1" x14ac:dyDescent="0.25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hidden="1" x14ac:dyDescent="0.25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hidden="1" x14ac:dyDescent="0.25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hidden="1" x14ac:dyDescent="0.25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hidden="1" x14ac:dyDescent="0.25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hidden="1" x14ac:dyDescent="0.25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hidden="1" x14ac:dyDescent="0.25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hidden="1" x14ac:dyDescent="0.25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hidden="1" x14ac:dyDescent="0.25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hidden="1" x14ac:dyDescent="0.25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hidden="1" x14ac:dyDescent="0.25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hidden="1" x14ac:dyDescent="0.25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hidden="1" x14ac:dyDescent="0.25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hidden="1" x14ac:dyDescent="0.25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hidden="1" x14ac:dyDescent="0.25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hidden="1" x14ac:dyDescent="0.25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hidden="1" x14ac:dyDescent="0.25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hidden="1" x14ac:dyDescent="0.25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hidden="1" x14ac:dyDescent="0.25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hidden="1" x14ac:dyDescent="0.25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hidden="1" x14ac:dyDescent="0.25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hidden="1" x14ac:dyDescent="0.25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hidden="1" x14ac:dyDescent="0.25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hidden="1" x14ac:dyDescent="0.25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hidden="1" x14ac:dyDescent="0.25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hidden="1" x14ac:dyDescent="0.25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hidden="1" x14ac:dyDescent="0.25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hidden="1" x14ac:dyDescent="0.25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hidden="1" x14ac:dyDescent="0.25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hidden="1" x14ac:dyDescent="0.25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hidden="1" x14ac:dyDescent="0.25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hidden="1" x14ac:dyDescent="0.25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hidden="1" x14ac:dyDescent="0.25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hidden="1" x14ac:dyDescent="0.25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hidden="1" x14ac:dyDescent="0.25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hidden="1" x14ac:dyDescent="0.25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hidden="1" x14ac:dyDescent="0.25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hidden="1" x14ac:dyDescent="0.25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hidden="1" x14ac:dyDescent="0.25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hidden="1" x14ac:dyDescent="0.25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hidden="1" x14ac:dyDescent="0.25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hidden="1" x14ac:dyDescent="0.25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hidden="1" x14ac:dyDescent="0.25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hidden="1" x14ac:dyDescent="0.25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hidden="1" x14ac:dyDescent="0.25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hidden="1" x14ac:dyDescent="0.25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hidden="1" x14ac:dyDescent="0.25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hidden="1" x14ac:dyDescent="0.25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hidden="1" x14ac:dyDescent="0.25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hidden="1" x14ac:dyDescent="0.25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hidden="1" x14ac:dyDescent="0.25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hidden="1" x14ac:dyDescent="0.25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hidden="1" x14ac:dyDescent="0.25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hidden="1" x14ac:dyDescent="0.25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hidden="1" x14ac:dyDescent="0.25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hidden="1" x14ac:dyDescent="0.25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hidden="1" x14ac:dyDescent="0.25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hidden="1" x14ac:dyDescent="0.25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hidden="1" x14ac:dyDescent="0.25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hidden="1" x14ac:dyDescent="0.25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hidden="1" x14ac:dyDescent="0.25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hidden="1" x14ac:dyDescent="0.25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hidden="1" x14ac:dyDescent="0.25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hidden="1" x14ac:dyDescent="0.25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hidden="1" x14ac:dyDescent="0.25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hidden="1" x14ac:dyDescent="0.25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hidden="1" x14ac:dyDescent="0.25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hidden="1" x14ac:dyDescent="0.25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hidden="1" x14ac:dyDescent="0.25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hidden="1" x14ac:dyDescent="0.25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hidden="1" x14ac:dyDescent="0.25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hidden="1" x14ac:dyDescent="0.25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hidden="1" x14ac:dyDescent="0.25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hidden="1" x14ac:dyDescent="0.25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hidden="1" x14ac:dyDescent="0.25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hidden="1" x14ac:dyDescent="0.25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hidden="1" x14ac:dyDescent="0.25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hidden="1" x14ac:dyDescent="0.25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hidden="1" x14ac:dyDescent="0.25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hidden="1" x14ac:dyDescent="0.25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hidden="1" x14ac:dyDescent="0.25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hidden="1" x14ac:dyDescent="0.25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hidden="1" x14ac:dyDescent="0.25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hidden="1" x14ac:dyDescent="0.25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hidden="1" x14ac:dyDescent="0.25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hidden="1" x14ac:dyDescent="0.25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hidden="1" x14ac:dyDescent="0.25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hidden="1" x14ac:dyDescent="0.25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hidden="1" x14ac:dyDescent="0.25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hidden="1" x14ac:dyDescent="0.25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hidden="1" x14ac:dyDescent="0.25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hidden="1" x14ac:dyDescent="0.25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hidden="1" x14ac:dyDescent="0.25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hidden="1" x14ac:dyDescent="0.25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hidden="1" x14ac:dyDescent="0.25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hidden="1" x14ac:dyDescent="0.25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hidden="1" x14ac:dyDescent="0.25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hidden="1" x14ac:dyDescent="0.25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hidden="1" x14ac:dyDescent="0.25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hidden="1" x14ac:dyDescent="0.25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hidden="1" x14ac:dyDescent="0.25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hidden="1" x14ac:dyDescent="0.25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hidden="1" x14ac:dyDescent="0.25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hidden="1" x14ac:dyDescent="0.25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hidden="1" x14ac:dyDescent="0.25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hidden="1" x14ac:dyDescent="0.25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hidden="1" x14ac:dyDescent="0.25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hidden="1" x14ac:dyDescent="0.25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hidden="1" x14ac:dyDescent="0.25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hidden="1" x14ac:dyDescent="0.25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hidden="1" x14ac:dyDescent="0.25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hidden="1" x14ac:dyDescent="0.25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hidden="1" x14ac:dyDescent="0.25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hidden="1" x14ac:dyDescent="0.25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hidden="1" x14ac:dyDescent="0.25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hidden="1" x14ac:dyDescent="0.25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hidden="1" x14ac:dyDescent="0.25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hidden="1" x14ac:dyDescent="0.25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hidden="1" x14ac:dyDescent="0.25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hidden="1" x14ac:dyDescent="0.25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hidden="1" x14ac:dyDescent="0.25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hidden="1" x14ac:dyDescent="0.25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hidden="1" x14ac:dyDescent="0.25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hidden="1" x14ac:dyDescent="0.25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hidden="1" x14ac:dyDescent="0.25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hidden="1" x14ac:dyDescent="0.25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hidden="1" x14ac:dyDescent="0.25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hidden="1" x14ac:dyDescent="0.25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hidden="1" x14ac:dyDescent="0.25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hidden="1" x14ac:dyDescent="0.25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hidden="1" x14ac:dyDescent="0.25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hidden="1" x14ac:dyDescent="0.25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hidden="1" x14ac:dyDescent="0.25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hidden="1" x14ac:dyDescent="0.25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hidden="1" x14ac:dyDescent="0.25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hidden="1" x14ac:dyDescent="0.25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hidden="1" x14ac:dyDescent="0.25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hidden="1" x14ac:dyDescent="0.25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hidden="1" x14ac:dyDescent="0.25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hidden="1" x14ac:dyDescent="0.25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hidden="1" x14ac:dyDescent="0.25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hidden="1" x14ac:dyDescent="0.25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hidden="1" x14ac:dyDescent="0.25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hidden="1" x14ac:dyDescent="0.25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hidden="1" x14ac:dyDescent="0.25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hidden="1" x14ac:dyDescent="0.25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hidden="1" x14ac:dyDescent="0.25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hidden="1" x14ac:dyDescent="0.25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hidden="1" x14ac:dyDescent="0.25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hidden="1" x14ac:dyDescent="0.25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hidden="1" x14ac:dyDescent="0.25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hidden="1" x14ac:dyDescent="0.25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hidden="1" x14ac:dyDescent="0.25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hidden="1" x14ac:dyDescent="0.25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hidden="1" x14ac:dyDescent="0.25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hidden="1" x14ac:dyDescent="0.25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hidden="1" x14ac:dyDescent="0.25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hidden="1" x14ac:dyDescent="0.25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hidden="1" x14ac:dyDescent="0.25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hidden="1" x14ac:dyDescent="0.25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hidden="1" x14ac:dyDescent="0.25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hidden="1" x14ac:dyDescent="0.25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hidden="1" x14ac:dyDescent="0.25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hidden="1" x14ac:dyDescent="0.25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hidden="1" x14ac:dyDescent="0.25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hidden="1" x14ac:dyDescent="0.25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hidden="1" x14ac:dyDescent="0.25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hidden="1" x14ac:dyDescent="0.25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hidden="1" x14ac:dyDescent="0.25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hidden="1" x14ac:dyDescent="0.25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hidden="1" x14ac:dyDescent="0.25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hidden="1" x14ac:dyDescent="0.25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hidden="1" x14ac:dyDescent="0.25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hidden="1" x14ac:dyDescent="0.25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hidden="1" x14ac:dyDescent="0.25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hidden="1" x14ac:dyDescent="0.25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hidden="1" x14ac:dyDescent="0.25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hidden="1" x14ac:dyDescent="0.25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hidden="1" x14ac:dyDescent="0.25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hidden="1" x14ac:dyDescent="0.25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hidden="1" x14ac:dyDescent="0.25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hidden="1" x14ac:dyDescent="0.25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hidden="1" x14ac:dyDescent="0.25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hidden="1" x14ac:dyDescent="0.25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hidden="1" x14ac:dyDescent="0.25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hidden="1" x14ac:dyDescent="0.25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hidden="1" x14ac:dyDescent="0.25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hidden="1" x14ac:dyDescent="0.25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hidden="1" x14ac:dyDescent="0.25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hidden="1" x14ac:dyDescent="0.25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hidden="1" x14ac:dyDescent="0.25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hidden="1" x14ac:dyDescent="0.25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hidden="1" x14ac:dyDescent="0.25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hidden="1" x14ac:dyDescent="0.25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hidden="1" x14ac:dyDescent="0.25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hidden="1" x14ac:dyDescent="0.25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hidden="1" x14ac:dyDescent="0.25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hidden="1" x14ac:dyDescent="0.25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hidden="1" x14ac:dyDescent="0.25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hidden="1" x14ac:dyDescent="0.25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hidden="1" x14ac:dyDescent="0.25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hidden="1" x14ac:dyDescent="0.25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hidden="1" x14ac:dyDescent="0.25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hidden="1" x14ac:dyDescent="0.25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hidden="1" x14ac:dyDescent="0.25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hidden="1" x14ac:dyDescent="0.25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hidden="1" x14ac:dyDescent="0.25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hidden="1" x14ac:dyDescent="0.25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hidden="1" x14ac:dyDescent="0.25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hidden="1" x14ac:dyDescent="0.25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hidden="1" x14ac:dyDescent="0.25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hidden="1" x14ac:dyDescent="0.25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hidden="1" x14ac:dyDescent="0.25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hidden="1" x14ac:dyDescent="0.25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hidden="1" x14ac:dyDescent="0.25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hidden="1" x14ac:dyDescent="0.25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hidden="1" x14ac:dyDescent="0.25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hidden="1" x14ac:dyDescent="0.25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hidden="1" x14ac:dyDescent="0.25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hidden="1" x14ac:dyDescent="0.25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hidden="1" x14ac:dyDescent="0.25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hidden="1" x14ac:dyDescent="0.25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hidden="1" x14ac:dyDescent="0.25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hidden="1" x14ac:dyDescent="0.25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hidden="1" x14ac:dyDescent="0.25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hidden="1" x14ac:dyDescent="0.25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hidden="1" x14ac:dyDescent="0.25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hidden="1" x14ac:dyDescent="0.25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hidden="1" x14ac:dyDescent="0.25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hidden="1" x14ac:dyDescent="0.25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hidden="1" x14ac:dyDescent="0.25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hidden="1" x14ac:dyDescent="0.25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hidden="1" x14ac:dyDescent="0.25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hidden="1" x14ac:dyDescent="0.25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hidden="1" x14ac:dyDescent="0.25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hidden="1" x14ac:dyDescent="0.25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hidden="1" x14ac:dyDescent="0.25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hidden="1" x14ac:dyDescent="0.25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hidden="1" x14ac:dyDescent="0.25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hidden="1" x14ac:dyDescent="0.25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hidden="1" x14ac:dyDescent="0.25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hidden="1" x14ac:dyDescent="0.25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hidden="1" x14ac:dyDescent="0.25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hidden="1" x14ac:dyDescent="0.25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hidden="1" x14ac:dyDescent="0.25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hidden="1" x14ac:dyDescent="0.25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hidden="1" x14ac:dyDescent="0.25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hidden="1" x14ac:dyDescent="0.25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hidden="1" x14ac:dyDescent="0.25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hidden="1" x14ac:dyDescent="0.25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hidden="1" x14ac:dyDescent="0.25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hidden="1" x14ac:dyDescent="0.25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hidden="1" x14ac:dyDescent="0.25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hidden="1" x14ac:dyDescent="0.25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hidden="1" x14ac:dyDescent="0.25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hidden="1" x14ac:dyDescent="0.25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hidden="1" x14ac:dyDescent="0.25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hidden="1" x14ac:dyDescent="0.25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hidden="1" x14ac:dyDescent="0.25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hidden="1" x14ac:dyDescent="0.25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hidden="1" x14ac:dyDescent="0.25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hidden="1" x14ac:dyDescent="0.25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hidden="1" x14ac:dyDescent="0.25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hidden="1" x14ac:dyDescent="0.25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hidden="1" x14ac:dyDescent="0.25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hidden="1" x14ac:dyDescent="0.25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hidden="1" x14ac:dyDescent="0.25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hidden="1" x14ac:dyDescent="0.25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hidden="1" x14ac:dyDescent="0.25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hidden="1" x14ac:dyDescent="0.25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hidden="1" x14ac:dyDescent="0.25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hidden="1" x14ac:dyDescent="0.25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hidden="1" x14ac:dyDescent="0.25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hidden="1" x14ac:dyDescent="0.25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hidden="1" x14ac:dyDescent="0.25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hidden="1" x14ac:dyDescent="0.25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hidden="1" x14ac:dyDescent="0.25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hidden="1" x14ac:dyDescent="0.25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hidden="1" x14ac:dyDescent="0.25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hidden="1" x14ac:dyDescent="0.25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hidden="1" x14ac:dyDescent="0.25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hidden="1" x14ac:dyDescent="0.25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hidden="1" x14ac:dyDescent="0.25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hidden="1" x14ac:dyDescent="0.25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hidden="1" x14ac:dyDescent="0.25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hidden="1" x14ac:dyDescent="0.25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hidden="1" x14ac:dyDescent="0.25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hidden="1" x14ac:dyDescent="0.25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hidden="1" x14ac:dyDescent="0.25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hidden="1" x14ac:dyDescent="0.25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hidden="1" x14ac:dyDescent="0.25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hidden="1" x14ac:dyDescent="0.25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hidden="1" x14ac:dyDescent="0.25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hidden="1" x14ac:dyDescent="0.25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hidden="1" x14ac:dyDescent="0.25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hidden="1" x14ac:dyDescent="0.25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hidden="1" x14ac:dyDescent="0.25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hidden="1" x14ac:dyDescent="0.25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hidden="1" x14ac:dyDescent="0.25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hidden="1" x14ac:dyDescent="0.25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hidden="1" x14ac:dyDescent="0.25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hidden="1" x14ac:dyDescent="0.25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hidden="1" x14ac:dyDescent="0.25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hidden="1" x14ac:dyDescent="0.25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hidden="1" x14ac:dyDescent="0.25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hidden="1" x14ac:dyDescent="0.25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hidden="1" x14ac:dyDescent="0.25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hidden="1" x14ac:dyDescent="0.25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hidden="1" x14ac:dyDescent="0.25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hidden="1" x14ac:dyDescent="0.25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hidden="1" x14ac:dyDescent="0.25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hidden="1" x14ac:dyDescent="0.25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hidden="1" x14ac:dyDescent="0.25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hidden="1" x14ac:dyDescent="0.25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hidden="1" x14ac:dyDescent="0.25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hidden="1" x14ac:dyDescent="0.25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hidden="1" x14ac:dyDescent="0.25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hidden="1" x14ac:dyDescent="0.25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hidden="1" x14ac:dyDescent="0.25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hidden="1" x14ac:dyDescent="0.25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hidden="1" x14ac:dyDescent="0.25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hidden="1" x14ac:dyDescent="0.25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hidden="1" x14ac:dyDescent="0.25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hidden="1" x14ac:dyDescent="0.25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hidden="1" x14ac:dyDescent="0.25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hidden="1" x14ac:dyDescent="0.25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hidden="1" x14ac:dyDescent="0.25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hidden="1" x14ac:dyDescent="0.25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hidden="1" x14ac:dyDescent="0.25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hidden="1" x14ac:dyDescent="0.25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hidden="1" x14ac:dyDescent="0.25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hidden="1" x14ac:dyDescent="0.25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hidden="1" x14ac:dyDescent="0.25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hidden="1" x14ac:dyDescent="0.25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hidden="1" x14ac:dyDescent="0.25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hidden="1" x14ac:dyDescent="0.25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hidden="1" x14ac:dyDescent="0.25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hidden="1" x14ac:dyDescent="0.25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hidden="1" x14ac:dyDescent="0.25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hidden="1" x14ac:dyDescent="0.25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hidden="1" x14ac:dyDescent="0.25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hidden="1" x14ac:dyDescent="0.25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hidden="1" x14ac:dyDescent="0.25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hidden="1" x14ac:dyDescent="0.25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hidden="1" x14ac:dyDescent="0.25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hidden="1" x14ac:dyDescent="0.25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hidden="1" x14ac:dyDescent="0.25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hidden="1" x14ac:dyDescent="0.25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hidden="1" x14ac:dyDescent="0.25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hidden="1" x14ac:dyDescent="0.25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hidden="1" x14ac:dyDescent="0.25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hidden="1" x14ac:dyDescent="0.25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hidden="1" x14ac:dyDescent="0.25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hidden="1" x14ac:dyDescent="0.25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hidden="1" x14ac:dyDescent="0.25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hidden="1" x14ac:dyDescent="0.25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hidden="1" x14ac:dyDescent="0.25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hidden="1" x14ac:dyDescent="0.25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hidden="1" x14ac:dyDescent="0.25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hidden="1" x14ac:dyDescent="0.25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hidden="1" x14ac:dyDescent="0.25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hidden="1" x14ac:dyDescent="0.25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hidden="1" x14ac:dyDescent="0.25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hidden="1" x14ac:dyDescent="0.25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hidden="1" x14ac:dyDescent="0.25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hidden="1" x14ac:dyDescent="0.25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hidden="1" x14ac:dyDescent="0.25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hidden="1" x14ac:dyDescent="0.25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hidden="1" x14ac:dyDescent="0.25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hidden="1" x14ac:dyDescent="0.25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hidden="1" x14ac:dyDescent="0.25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hidden="1" x14ac:dyDescent="0.25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hidden="1" x14ac:dyDescent="0.25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hidden="1" x14ac:dyDescent="0.25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hidden="1" x14ac:dyDescent="0.25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hidden="1" x14ac:dyDescent="0.25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hidden="1" x14ac:dyDescent="0.25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hidden="1" x14ac:dyDescent="0.25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hidden="1" x14ac:dyDescent="0.25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hidden="1" x14ac:dyDescent="0.25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hidden="1" x14ac:dyDescent="0.25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hidden="1" x14ac:dyDescent="0.25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hidden="1" x14ac:dyDescent="0.25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hidden="1" x14ac:dyDescent="0.25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hidden="1" x14ac:dyDescent="0.25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hidden="1" x14ac:dyDescent="0.25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hidden="1" x14ac:dyDescent="0.25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hidden="1" x14ac:dyDescent="0.25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hidden="1" x14ac:dyDescent="0.25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hidden="1" x14ac:dyDescent="0.25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hidden="1" x14ac:dyDescent="0.25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hidden="1" x14ac:dyDescent="0.25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hidden="1" x14ac:dyDescent="0.25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hidden="1" x14ac:dyDescent="0.25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hidden="1" x14ac:dyDescent="0.25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hidden="1" x14ac:dyDescent="0.25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hidden="1" x14ac:dyDescent="0.25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hidden="1" x14ac:dyDescent="0.25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hidden="1" x14ac:dyDescent="0.25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hidden="1" x14ac:dyDescent="0.25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hidden="1" x14ac:dyDescent="0.25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hidden="1" x14ac:dyDescent="0.25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hidden="1" x14ac:dyDescent="0.25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hidden="1" x14ac:dyDescent="0.25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hidden="1" x14ac:dyDescent="0.25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hidden="1" x14ac:dyDescent="0.25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hidden="1" x14ac:dyDescent="0.25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hidden="1" x14ac:dyDescent="0.25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hidden="1" x14ac:dyDescent="0.25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hidden="1" x14ac:dyDescent="0.25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hidden="1" x14ac:dyDescent="0.25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hidden="1" x14ac:dyDescent="0.25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hidden="1" x14ac:dyDescent="0.25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hidden="1" x14ac:dyDescent="0.25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hidden="1" x14ac:dyDescent="0.25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hidden="1" x14ac:dyDescent="0.25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hidden="1" x14ac:dyDescent="0.25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hidden="1" x14ac:dyDescent="0.25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hidden="1" x14ac:dyDescent="0.25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hidden="1" x14ac:dyDescent="0.25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hidden="1" x14ac:dyDescent="0.25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hidden="1" x14ac:dyDescent="0.25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hidden="1" x14ac:dyDescent="0.25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hidden="1" x14ac:dyDescent="0.25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hidden="1" x14ac:dyDescent="0.25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hidden="1" x14ac:dyDescent="0.25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hidden="1" x14ac:dyDescent="0.25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hidden="1" x14ac:dyDescent="0.25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hidden="1" x14ac:dyDescent="0.25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hidden="1" x14ac:dyDescent="0.25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hidden="1" x14ac:dyDescent="0.25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hidden="1" x14ac:dyDescent="0.25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hidden="1" x14ac:dyDescent="0.25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hidden="1" x14ac:dyDescent="0.25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hidden="1" x14ac:dyDescent="0.25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hidden="1" x14ac:dyDescent="0.25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hidden="1" x14ac:dyDescent="0.25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hidden="1" x14ac:dyDescent="0.25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hidden="1" x14ac:dyDescent="0.25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hidden="1" x14ac:dyDescent="0.25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hidden="1" x14ac:dyDescent="0.25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hidden="1" x14ac:dyDescent="0.25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hidden="1" x14ac:dyDescent="0.25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hidden="1" x14ac:dyDescent="0.25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hidden="1" x14ac:dyDescent="0.25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hidden="1" x14ac:dyDescent="0.25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hidden="1" x14ac:dyDescent="0.25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hidden="1" x14ac:dyDescent="0.25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hidden="1" x14ac:dyDescent="0.25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hidden="1" x14ac:dyDescent="0.25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hidden="1" x14ac:dyDescent="0.25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hidden="1" x14ac:dyDescent="0.25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hidden="1" x14ac:dyDescent="0.25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hidden="1" x14ac:dyDescent="0.25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hidden="1" x14ac:dyDescent="0.25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hidden="1" x14ac:dyDescent="0.25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hidden="1" x14ac:dyDescent="0.25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hidden="1" x14ac:dyDescent="0.25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hidden="1" x14ac:dyDescent="0.25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hidden="1" x14ac:dyDescent="0.25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hidden="1" x14ac:dyDescent="0.25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hidden="1" x14ac:dyDescent="0.25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hidden="1" x14ac:dyDescent="0.25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hidden="1" x14ac:dyDescent="0.25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hidden="1" x14ac:dyDescent="0.25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hidden="1" x14ac:dyDescent="0.25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hidden="1" x14ac:dyDescent="0.25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hidden="1" x14ac:dyDescent="0.25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hidden="1" x14ac:dyDescent="0.25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hidden="1" x14ac:dyDescent="0.25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hidden="1" x14ac:dyDescent="0.25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hidden="1" x14ac:dyDescent="0.25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hidden="1" x14ac:dyDescent="0.25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hidden="1" x14ac:dyDescent="0.25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hidden="1" x14ac:dyDescent="0.25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hidden="1" x14ac:dyDescent="0.25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hidden="1" x14ac:dyDescent="0.25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hidden="1" x14ac:dyDescent="0.25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hidden="1" x14ac:dyDescent="0.25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hidden="1" x14ac:dyDescent="0.25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hidden="1" x14ac:dyDescent="0.25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hidden="1" x14ac:dyDescent="0.25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hidden="1" x14ac:dyDescent="0.25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hidden="1" x14ac:dyDescent="0.25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hidden="1" x14ac:dyDescent="0.25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hidden="1" x14ac:dyDescent="0.25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hidden="1" x14ac:dyDescent="0.25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hidden="1" x14ac:dyDescent="0.25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hidden="1" x14ac:dyDescent="0.25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hidden="1" x14ac:dyDescent="0.25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hidden="1" x14ac:dyDescent="0.25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hidden="1" x14ac:dyDescent="0.25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hidden="1" x14ac:dyDescent="0.25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hidden="1" x14ac:dyDescent="0.25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hidden="1" x14ac:dyDescent="0.25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hidden="1" x14ac:dyDescent="0.25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hidden="1" x14ac:dyDescent="0.25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hidden="1" x14ac:dyDescent="0.25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hidden="1" x14ac:dyDescent="0.25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hidden="1" x14ac:dyDescent="0.25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hidden="1" x14ac:dyDescent="0.25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hidden="1" x14ac:dyDescent="0.25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hidden="1" x14ac:dyDescent="0.25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hidden="1" x14ac:dyDescent="0.25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hidden="1" x14ac:dyDescent="0.25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hidden="1" x14ac:dyDescent="0.25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hidden="1" x14ac:dyDescent="0.25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hidden="1" x14ac:dyDescent="0.25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hidden="1" x14ac:dyDescent="0.25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hidden="1" x14ac:dyDescent="0.25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hidden="1" x14ac:dyDescent="0.25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hidden="1" x14ac:dyDescent="0.25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hidden="1" x14ac:dyDescent="0.25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hidden="1" x14ac:dyDescent="0.25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hidden="1" x14ac:dyDescent="0.25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hidden="1" x14ac:dyDescent="0.25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hidden="1" x14ac:dyDescent="0.25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hidden="1" x14ac:dyDescent="0.25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hidden="1" x14ac:dyDescent="0.25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hidden="1" x14ac:dyDescent="0.25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hidden="1" x14ac:dyDescent="0.25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hidden="1" x14ac:dyDescent="0.25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hidden="1" x14ac:dyDescent="0.25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hidden="1" x14ac:dyDescent="0.25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hidden="1" x14ac:dyDescent="0.25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hidden="1" x14ac:dyDescent="0.25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hidden="1" x14ac:dyDescent="0.25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hidden="1" x14ac:dyDescent="0.25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hidden="1" x14ac:dyDescent="0.25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hidden="1" x14ac:dyDescent="0.25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hidden="1" x14ac:dyDescent="0.25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hidden="1" x14ac:dyDescent="0.25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hidden="1" x14ac:dyDescent="0.25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hidden="1" x14ac:dyDescent="0.25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hidden="1" x14ac:dyDescent="0.25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hidden="1" x14ac:dyDescent="0.25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hidden="1" x14ac:dyDescent="0.25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hidden="1" x14ac:dyDescent="0.25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hidden="1" x14ac:dyDescent="0.25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hidden="1" x14ac:dyDescent="0.25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hidden="1" x14ac:dyDescent="0.25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hidden="1" x14ac:dyDescent="0.25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hidden="1" x14ac:dyDescent="0.25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hidden="1" x14ac:dyDescent="0.25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hidden="1" x14ac:dyDescent="0.25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hidden="1" x14ac:dyDescent="0.25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hidden="1" x14ac:dyDescent="0.25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hidden="1" x14ac:dyDescent="0.25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hidden="1" x14ac:dyDescent="0.25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hidden="1" x14ac:dyDescent="0.25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hidden="1" x14ac:dyDescent="0.25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hidden="1" x14ac:dyDescent="0.25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hidden="1" x14ac:dyDescent="0.25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hidden="1" x14ac:dyDescent="0.25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hidden="1" x14ac:dyDescent="0.25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hidden="1" x14ac:dyDescent="0.25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hidden="1" x14ac:dyDescent="0.25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hidden="1" x14ac:dyDescent="0.25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hidden="1" x14ac:dyDescent="0.25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hidden="1" x14ac:dyDescent="0.25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hidden="1" x14ac:dyDescent="0.25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hidden="1" x14ac:dyDescent="0.25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hidden="1" x14ac:dyDescent="0.25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hidden="1" x14ac:dyDescent="0.25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hidden="1" x14ac:dyDescent="0.25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hidden="1" x14ac:dyDescent="0.25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hidden="1" x14ac:dyDescent="0.25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hidden="1" x14ac:dyDescent="0.25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hidden="1" x14ac:dyDescent="0.25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hidden="1" x14ac:dyDescent="0.25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hidden="1" x14ac:dyDescent="0.25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hidden="1" x14ac:dyDescent="0.25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hidden="1" x14ac:dyDescent="0.25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hidden="1" x14ac:dyDescent="0.25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hidden="1" x14ac:dyDescent="0.25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hidden="1" x14ac:dyDescent="0.25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hidden="1" x14ac:dyDescent="0.25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hidden="1" x14ac:dyDescent="0.25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hidden="1" x14ac:dyDescent="0.25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hidden="1" x14ac:dyDescent="0.25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hidden="1" x14ac:dyDescent="0.25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hidden="1" x14ac:dyDescent="0.25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hidden="1" x14ac:dyDescent="0.25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hidden="1" x14ac:dyDescent="0.25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hidden="1" x14ac:dyDescent="0.25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hidden="1" x14ac:dyDescent="0.25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hidden="1" x14ac:dyDescent="0.25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hidden="1" x14ac:dyDescent="0.25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hidden="1" x14ac:dyDescent="0.25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hidden="1" x14ac:dyDescent="0.25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hidden="1" x14ac:dyDescent="0.25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hidden="1" x14ac:dyDescent="0.25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hidden="1" x14ac:dyDescent="0.25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hidden="1" x14ac:dyDescent="0.25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hidden="1" x14ac:dyDescent="0.25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hidden="1" x14ac:dyDescent="0.25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hidden="1" x14ac:dyDescent="0.25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hidden="1" x14ac:dyDescent="0.25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hidden="1" x14ac:dyDescent="0.25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hidden="1" x14ac:dyDescent="0.25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hidden="1" x14ac:dyDescent="0.25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hidden="1" x14ac:dyDescent="0.25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hidden="1" x14ac:dyDescent="0.25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hidden="1" x14ac:dyDescent="0.25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hidden="1" x14ac:dyDescent="0.25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hidden="1" x14ac:dyDescent="0.25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hidden="1" x14ac:dyDescent="0.25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hidden="1" x14ac:dyDescent="0.25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hidden="1" x14ac:dyDescent="0.25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hidden="1" x14ac:dyDescent="0.25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hidden="1" x14ac:dyDescent="0.25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hidden="1" x14ac:dyDescent="0.25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hidden="1" x14ac:dyDescent="0.25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hidden="1" x14ac:dyDescent="0.25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hidden="1" x14ac:dyDescent="0.25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hidden="1" x14ac:dyDescent="0.25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hidden="1" x14ac:dyDescent="0.25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hidden="1" x14ac:dyDescent="0.25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hidden="1" x14ac:dyDescent="0.25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hidden="1" x14ac:dyDescent="0.25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hidden="1" x14ac:dyDescent="0.25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hidden="1" x14ac:dyDescent="0.25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hidden="1" x14ac:dyDescent="0.25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hidden="1" x14ac:dyDescent="0.25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hidden="1" x14ac:dyDescent="0.25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hidden="1" x14ac:dyDescent="0.25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hidden="1" x14ac:dyDescent="0.25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hidden="1" x14ac:dyDescent="0.25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hidden="1" x14ac:dyDescent="0.25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hidden="1" x14ac:dyDescent="0.25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hidden="1" x14ac:dyDescent="0.25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hidden="1" x14ac:dyDescent="0.25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hidden="1" x14ac:dyDescent="0.25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hidden="1" x14ac:dyDescent="0.25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hidden="1" x14ac:dyDescent="0.25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hidden="1" x14ac:dyDescent="0.25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hidden="1" x14ac:dyDescent="0.25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hidden="1" x14ac:dyDescent="0.25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hidden="1" x14ac:dyDescent="0.25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hidden="1" x14ac:dyDescent="0.25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hidden="1" x14ac:dyDescent="0.25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hidden="1" x14ac:dyDescent="0.25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hidden="1" x14ac:dyDescent="0.25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hidden="1" x14ac:dyDescent="0.25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hidden="1" x14ac:dyDescent="0.25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hidden="1" x14ac:dyDescent="0.25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hidden="1" x14ac:dyDescent="0.25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hidden="1" x14ac:dyDescent="0.25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hidden="1" x14ac:dyDescent="0.25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hidden="1" x14ac:dyDescent="0.25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hidden="1" x14ac:dyDescent="0.25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hidden="1" x14ac:dyDescent="0.25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hidden="1" x14ac:dyDescent="0.25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hidden="1" x14ac:dyDescent="0.25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hidden="1" x14ac:dyDescent="0.25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hidden="1" x14ac:dyDescent="0.25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hidden="1" x14ac:dyDescent="0.25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hidden="1" x14ac:dyDescent="0.25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hidden="1" x14ac:dyDescent="0.25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hidden="1" x14ac:dyDescent="0.25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hidden="1" x14ac:dyDescent="0.25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hidden="1" x14ac:dyDescent="0.25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hidden="1" x14ac:dyDescent="0.25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hidden="1" x14ac:dyDescent="0.25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hidden="1" x14ac:dyDescent="0.25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hidden="1" x14ac:dyDescent="0.25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hidden="1" x14ac:dyDescent="0.25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hidden="1" x14ac:dyDescent="0.25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hidden="1" x14ac:dyDescent="0.25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hidden="1" x14ac:dyDescent="0.25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hidden="1" x14ac:dyDescent="0.25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hidden="1" x14ac:dyDescent="0.25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hidden="1" x14ac:dyDescent="0.25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hidden="1" x14ac:dyDescent="0.25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hidden="1" x14ac:dyDescent="0.25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hidden="1" x14ac:dyDescent="0.25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hidden="1" x14ac:dyDescent="0.25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hidden="1" x14ac:dyDescent="0.25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hidden="1" x14ac:dyDescent="0.25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hidden="1" x14ac:dyDescent="0.25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hidden="1" x14ac:dyDescent="0.25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hidden="1" x14ac:dyDescent="0.25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hidden="1" x14ac:dyDescent="0.25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hidden="1" x14ac:dyDescent="0.25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hidden="1" x14ac:dyDescent="0.25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hidden="1" x14ac:dyDescent="0.25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hidden="1" x14ac:dyDescent="0.25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hidden="1" x14ac:dyDescent="0.25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hidden="1" x14ac:dyDescent="0.25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hidden="1" x14ac:dyDescent="0.25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hidden="1" x14ac:dyDescent="0.25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hidden="1" x14ac:dyDescent="0.25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hidden="1" x14ac:dyDescent="0.25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hidden="1" x14ac:dyDescent="0.25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hidden="1" x14ac:dyDescent="0.25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hidden="1" x14ac:dyDescent="0.25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hidden="1" x14ac:dyDescent="0.25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hidden="1" x14ac:dyDescent="0.25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hidden="1" x14ac:dyDescent="0.25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hidden="1" x14ac:dyDescent="0.25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hidden="1" x14ac:dyDescent="0.25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hidden="1" x14ac:dyDescent="0.25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hidden="1" x14ac:dyDescent="0.25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hidden="1" x14ac:dyDescent="0.25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hidden="1" x14ac:dyDescent="0.25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hidden="1" x14ac:dyDescent="0.25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hidden="1" x14ac:dyDescent="0.25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hidden="1" x14ac:dyDescent="0.25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hidden="1" x14ac:dyDescent="0.25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hidden="1" x14ac:dyDescent="0.25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hidden="1" x14ac:dyDescent="0.25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hidden="1" x14ac:dyDescent="0.25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hidden="1" x14ac:dyDescent="0.25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hidden="1" x14ac:dyDescent="0.25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hidden="1" x14ac:dyDescent="0.25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hidden="1" x14ac:dyDescent="0.25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hidden="1" x14ac:dyDescent="0.25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hidden="1" x14ac:dyDescent="0.25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hidden="1" x14ac:dyDescent="0.25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hidden="1" x14ac:dyDescent="0.25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hidden="1" x14ac:dyDescent="0.25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hidden="1" x14ac:dyDescent="0.25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hidden="1" x14ac:dyDescent="0.25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hidden="1" x14ac:dyDescent="0.25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hidden="1" x14ac:dyDescent="0.25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hidden="1" x14ac:dyDescent="0.25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hidden="1" x14ac:dyDescent="0.25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hidden="1" x14ac:dyDescent="0.25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hidden="1" x14ac:dyDescent="0.25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hidden="1" x14ac:dyDescent="0.25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hidden="1" x14ac:dyDescent="0.25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hidden="1" x14ac:dyDescent="0.25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hidden="1" x14ac:dyDescent="0.25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hidden="1" x14ac:dyDescent="0.25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hidden="1" x14ac:dyDescent="0.25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hidden="1" x14ac:dyDescent="0.25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hidden="1" x14ac:dyDescent="0.25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hidden="1" x14ac:dyDescent="0.25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hidden="1" x14ac:dyDescent="0.25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hidden="1" x14ac:dyDescent="0.25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hidden="1" x14ac:dyDescent="0.25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hidden="1" x14ac:dyDescent="0.25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hidden="1" x14ac:dyDescent="0.25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hidden="1" x14ac:dyDescent="0.25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hidden="1" x14ac:dyDescent="0.25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hidden="1" x14ac:dyDescent="0.25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hidden="1" x14ac:dyDescent="0.25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hidden="1" x14ac:dyDescent="0.25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hidden="1" x14ac:dyDescent="0.25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hidden="1" x14ac:dyDescent="0.25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hidden="1" x14ac:dyDescent="0.25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hidden="1" x14ac:dyDescent="0.25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hidden="1" x14ac:dyDescent="0.25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hidden="1" x14ac:dyDescent="0.25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hidden="1" x14ac:dyDescent="0.25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hidden="1" x14ac:dyDescent="0.25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hidden="1" x14ac:dyDescent="0.25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hidden="1" x14ac:dyDescent="0.25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hidden="1" x14ac:dyDescent="0.25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hidden="1" x14ac:dyDescent="0.25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hidden="1" x14ac:dyDescent="0.25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hidden="1" x14ac:dyDescent="0.25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hidden="1" x14ac:dyDescent="0.25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hidden="1" x14ac:dyDescent="0.25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hidden="1" x14ac:dyDescent="0.25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hidden="1" x14ac:dyDescent="0.25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hidden="1" x14ac:dyDescent="0.25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hidden="1" x14ac:dyDescent="0.25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hidden="1" x14ac:dyDescent="0.25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hidden="1" x14ac:dyDescent="0.25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hidden="1" x14ac:dyDescent="0.25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hidden="1" x14ac:dyDescent="0.25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hidden="1" x14ac:dyDescent="0.25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hidden="1" x14ac:dyDescent="0.25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hidden="1" x14ac:dyDescent="0.25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hidden="1" x14ac:dyDescent="0.25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hidden="1" x14ac:dyDescent="0.25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hidden="1" x14ac:dyDescent="0.25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hidden="1" x14ac:dyDescent="0.25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hidden="1" x14ac:dyDescent="0.25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hidden="1" x14ac:dyDescent="0.25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hidden="1" x14ac:dyDescent="0.25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hidden="1" x14ac:dyDescent="0.25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hidden="1" x14ac:dyDescent="0.25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hidden="1" x14ac:dyDescent="0.25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hidden="1" x14ac:dyDescent="0.25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hidden="1" x14ac:dyDescent="0.25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hidden="1" x14ac:dyDescent="0.25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hidden="1" x14ac:dyDescent="0.25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hidden="1" x14ac:dyDescent="0.25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hidden="1" x14ac:dyDescent="0.25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hidden="1" x14ac:dyDescent="0.25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hidden="1" x14ac:dyDescent="0.25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hidden="1" x14ac:dyDescent="0.25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hidden="1" x14ac:dyDescent="0.25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hidden="1" x14ac:dyDescent="0.25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hidden="1" x14ac:dyDescent="0.25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hidden="1" x14ac:dyDescent="0.25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hidden="1" x14ac:dyDescent="0.25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hidden="1" x14ac:dyDescent="0.25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hidden="1" x14ac:dyDescent="0.25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hidden="1" x14ac:dyDescent="0.25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hidden="1" x14ac:dyDescent="0.25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hidden="1" x14ac:dyDescent="0.25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hidden="1" x14ac:dyDescent="0.25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hidden="1" x14ac:dyDescent="0.25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hidden="1" x14ac:dyDescent="0.25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hidden="1" x14ac:dyDescent="0.25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hidden="1" x14ac:dyDescent="0.25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hidden="1" x14ac:dyDescent="0.25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hidden="1" x14ac:dyDescent="0.25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hidden="1" x14ac:dyDescent="0.25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hidden="1" x14ac:dyDescent="0.25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hidden="1" x14ac:dyDescent="0.25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hidden="1" x14ac:dyDescent="0.25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hidden="1" x14ac:dyDescent="0.25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hidden="1" x14ac:dyDescent="0.25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hidden="1" x14ac:dyDescent="0.25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hidden="1" x14ac:dyDescent="0.25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hidden="1" x14ac:dyDescent="0.25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hidden="1" x14ac:dyDescent="0.25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hidden="1" x14ac:dyDescent="0.25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hidden="1" x14ac:dyDescent="0.25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hidden="1" x14ac:dyDescent="0.25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hidden="1" x14ac:dyDescent="0.25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hidden="1" x14ac:dyDescent="0.25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hidden="1" x14ac:dyDescent="0.25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hidden="1" x14ac:dyDescent="0.25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hidden="1" x14ac:dyDescent="0.25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hidden="1" x14ac:dyDescent="0.25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hidden="1" x14ac:dyDescent="0.25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hidden="1" x14ac:dyDescent="0.25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hidden="1" x14ac:dyDescent="0.25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hidden="1" x14ac:dyDescent="0.25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hidden="1" x14ac:dyDescent="0.25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hidden="1" x14ac:dyDescent="0.25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hidden="1" x14ac:dyDescent="0.25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hidden="1" x14ac:dyDescent="0.25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hidden="1" x14ac:dyDescent="0.25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hidden="1" x14ac:dyDescent="0.25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hidden="1" x14ac:dyDescent="0.25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hidden="1" x14ac:dyDescent="0.25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hidden="1" x14ac:dyDescent="0.25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hidden="1" x14ac:dyDescent="0.25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hidden="1" x14ac:dyDescent="0.25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hidden="1" x14ac:dyDescent="0.25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hidden="1" x14ac:dyDescent="0.25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hidden="1" x14ac:dyDescent="0.25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hidden="1" x14ac:dyDescent="0.25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hidden="1" x14ac:dyDescent="0.25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hidden="1" x14ac:dyDescent="0.25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hidden="1" x14ac:dyDescent="0.25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hidden="1" x14ac:dyDescent="0.25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hidden="1" x14ac:dyDescent="0.25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hidden="1" x14ac:dyDescent="0.25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hidden="1" x14ac:dyDescent="0.25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hidden="1" x14ac:dyDescent="0.25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hidden="1" x14ac:dyDescent="0.25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hidden="1" x14ac:dyDescent="0.25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hidden="1" x14ac:dyDescent="0.25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hidden="1" x14ac:dyDescent="0.25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hidden="1" x14ac:dyDescent="0.25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hidden="1" x14ac:dyDescent="0.25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hidden="1" x14ac:dyDescent="0.25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hidden="1" x14ac:dyDescent="0.25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hidden="1" x14ac:dyDescent="0.25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hidden="1" x14ac:dyDescent="0.25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hidden="1" x14ac:dyDescent="0.25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hidden="1" x14ac:dyDescent="0.25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hidden="1" x14ac:dyDescent="0.25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hidden="1" x14ac:dyDescent="0.25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hidden="1" x14ac:dyDescent="0.25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hidden="1" x14ac:dyDescent="0.25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hidden="1" x14ac:dyDescent="0.25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hidden="1" x14ac:dyDescent="0.25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hidden="1" x14ac:dyDescent="0.25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hidden="1" x14ac:dyDescent="0.25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hidden="1" x14ac:dyDescent="0.25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hidden="1" x14ac:dyDescent="0.25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hidden="1" x14ac:dyDescent="0.25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hidden="1" x14ac:dyDescent="0.25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hidden="1" x14ac:dyDescent="0.25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hidden="1" x14ac:dyDescent="0.25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hidden="1" x14ac:dyDescent="0.25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hidden="1" x14ac:dyDescent="0.25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hidden="1" x14ac:dyDescent="0.25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hidden="1" x14ac:dyDescent="0.25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hidden="1" x14ac:dyDescent="0.25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hidden="1" x14ac:dyDescent="0.25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hidden="1" x14ac:dyDescent="0.25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hidden="1" x14ac:dyDescent="0.25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hidden="1" x14ac:dyDescent="0.25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hidden="1" x14ac:dyDescent="0.25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hidden="1" x14ac:dyDescent="0.25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hidden="1" x14ac:dyDescent="0.25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hidden="1" x14ac:dyDescent="0.25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hidden="1" x14ac:dyDescent="0.25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hidden="1" x14ac:dyDescent="0.25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hidden="1" x14ac:dyDescent="0.25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hidden="1" x14ac:dyDescent="0.25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hidden="1" x14ac:dyDescent="0.25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hidden="1" x14ac:dyDescent="0.25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hidden="1" x14ac:dyDescent="0.25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hidden="1" x14ac:dyDescent="0.25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hidden="1" x14ac:dyDescent="0.25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hidden="1" x14ac:dyDescent="0.25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hidden="1" x14ac:dyDescent="0.25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hidden="1" x14ac:dyDescent="0.25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hidden="1" x14ac:dyDescent="0.25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hidden="1" x14ac:dyDescent="0.25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hidden="1" x14ac:dyDescent="0.25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hidden="1" x14ac:dyDescent="0.25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hidden="1" x14ac:dyDescent="0.25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hidden="1" x14ac:dyDescent="0.25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hidden="1" x14ac:dyDescent="0.25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hidden="1" x14ac:dyDescent="0.25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hidden="1" x14ac:dyDescent="0.25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hidden="1" x14ac:dyDescent="0.25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hidden="1" x14ac:dyDescent="0.25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hidden="1" x14ac:dyDescent="0.25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hidden="1" x14ac:dyDescent="0.25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hidden="1" x14ac:dyDescent="0.25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hidden="1" x14ac:dyDescent="0.25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hidden="1" x14ac:dyDescent="0.25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hidden="1" x14ac:dyDescent="0.25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hidden="1" x14ac:dyDescent="0.25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hidden="1" x14ac:dyDescent="0.25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hidden="1" x14ac:dyDescent="0.25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hidden="1" x14ac:dyDescent="0.25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hidden="1" x14ac:dyDescent="0.25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hidden="1" x14ac:dyDescent="0.25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hidden="1" x14ac:dyDescent="0.25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hidden="1" x14ac:dyDescent="0.25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hidden="1" x14ac:dyDescent="0.25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hidden="1" x14ac:dyDescent="0.25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hidden="1" x14ac:dyDescent="0.25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hidden="1" x14ac:dyDescent="0.25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hidden="1" x14ac:dyDescent="0.25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hidden="1" x14ac:dyDescent="0.25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hidden="1" x14ac:dyDescent="0.25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hidden="1" x14ac:dyDescent="0.25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hidden="1" x14ac:dyDescent="0.25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hidden="1" x14ac:dyDescent="0.25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hidden="1" x14ac:dyDescent="0.25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hidden="1" x14ac:dyDescent="0.25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hidden="1" x14ac:dyDescent="0.25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hidden="1" x14ac:dyDescent="0.25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hidden="1" x14ac:dyDescent="0.25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hidden="1" x14ac:dyDescent="0.25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hidden="1" x14ac:dyDescent="0.25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hidden="1" x14ac:dyDescent="0.25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hidden="1" x14ac:dyDescent="0.25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hidden="1" x14ac:dyDescent="0.25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hidden="1" x14ac:dyDescent="0.25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hidden="1" x14ac:dyDescent="0.25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hidden="1" x14ac:dyDescent="0.25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hidden="1" x14ac:dyDescent="0.25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hidden="1" x14ac:dyDescent="0.25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hidden="1" x14ac:dyDescent="0.25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hidden="1" x14ac:dyDescent="0.25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hidden="1" x14ac:dyDescent="0.25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hidden="1" x14ac:dyDescent="0.25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hidden="1" x14ac:dyDescent="0.25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hidden="1" x14ac:dyDescent="0.25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hidden="1" x14ac:dyDescent="0.25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hidden="1" x14ac:dyDescent="0.25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hidden="1" x14ac:dyDescent="0.25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hidden="1" x14ac:dyDescent="0.25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hidden="1" x14ac:dyDescent="0.25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hidden="1" x14ac:dyDescent="0.25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hidden="1" x14ac:dyDescent="0.25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hidden="1" x14ac:dyDescent="0.25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hidden="1" x14ac:dyDescent="0.25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hidden="1" x14ac:dyDescent="0.25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hidden="1" x14ac:dyDescent="0.25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hidden="1" x14ac:dyDescent="0.25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hidden="1" x14ac:dyDescent="0.25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hidden="1" x14ac:dyDescent="0.25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hidden="1" x14ac:dyDescent="0.25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hidden="1" x14ac:dyDescent="0.25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hidden="1" x14ac:dyDescent="0.25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hidden="1" x14ac:dyDescent="0.25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hidden="1" x14ac:dyDescent="0.25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hidden="1" x14ac:dyDescent="0.25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hidden="1" x14ac:dyDescent="0.25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hidden="1" x14ac:dyDescent="0.25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hidden="1" x14ac:dyDescent="0.25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hidden="1" x14ac:dyDescent="0.25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hidden="1" x14ac:dyDescent="0.25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hidden="1" x14ac:dyDescent="0.25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hidden="1" x14ac:dyDescent="0.25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hidden="1" x14ac:dyDescent="0.25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hidden="1" x14ac:dyDescent="0.25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hidden="1" x14ac:dyDescent="0.25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hidden="1" x14ac:dyDescent="0.25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hidden="1" x14ac:dyDescent="0.25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hidden="1" x14ac:dyDescent="0.25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hidden="1" x14ac:dyDescent="0.25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hidden="1" x14ac:dyDescent="0.25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hidden="1" x14ac:dyDescent="0.25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hidden="1" x14ac:dyDescent="0.25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hidden="1" x14ac:dyDescent="0.25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hidden="1" x14ac:dyDescent="0.25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hidden="1" x14ac:dyDescent="0.25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hidden="1" x14ac:dyDescent="0.25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hidden="1" x14ac:dyDescent="0.25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hidden="1" x14ac:dyDescent="0.25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hidden="1" x14ac:dyDescent="0.25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hidden="1" x14ac:dyDescent="0.25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hidden="1" x14ac:dyDescent="0.25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hidden="1" x14ac:dyDescent="0.25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hidden="1" x14ac:dyDescent="0.25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hidden="1" x14ac:dyDescent="0.25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hidden="1" x14ac:dyDescent="0.25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hidden="1" x14ac:dyDescent="0.25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hidden="1" x14ac:dyDescent="0.25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hidden="1" x14ac:dyDescent="0.25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hidden="1" x14ac:dyDescent="0.25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hidden="1" x14ac:dyDescent="0.25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hidden="1" x14ac:dyDescent="0.25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hidden="1" x14ac:dyDescent="0.25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hidden="1" x14ac:dyDescent="0.25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hidden="1" x14ac:dyDescent="0.25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hidden="1" x14ac:dyDescent="0.25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hidden="1" x14ac:dyDescent="0.25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hidden="1" x14ac:dyDescent="0.25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hidden="1" x14ac:dyDescent="0.25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hidden="1" x14ac:dyDescent="0.25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hidden="1" x14ac:dyDescent="0.25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hidden="1" x14ac:dyDescent="0.25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hidden="1" x14ac:dyDescent="0.25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hidden="1" x14ac:dyDescent="0.25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hidden="1" x14ac:dyDescent="0.25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hidden="1" x14ac:dyDescent="0.25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hidden="1" x14ac:dyDescent="0.25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hidden="1" x14ac:dyDescent="0.25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hidden="1" x14ac:dyDescent="0.25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hidden="1" x14ac:dyDescent="0.25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hidden="1" x14ac:dyDescent="0.25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hidden="1" x14ac:dyDescent="0.25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hidden="1" x14ac:dyDescent="0.25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hidden="1" x14ac:dyDescent="0.25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hidden="1" x14ac:dyDescent="0.25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hidden="1" x14ac:dyDescent="0.25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hidden="1" x14ac:dyDescent="0.25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hidden="1" x14ac:dyDescent="0.25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hidden="1" x14ac:dyDescent="0.25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hidden="1" x14ac:dyDescent="0.25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hidden="1" x14ac:dyDescent="0.25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hidden="1" x14ac:dyDescent="0.25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hidden="1" x14ac:dyDescent="0.25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hidden="1" x14ac:dyDescent="0.25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hidden="1" x14ac:dyDescent="0.25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hidden="1" x14ac:dyDescent="0.25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hidden="1" x14ac:dyDescent="0.25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hidden="1" x14ac:dyDescent="0.25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hidden="1" x14ac:dyDescent="0.25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hidden="1" x14ac:dyDescent="0.25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hidden="1" x14ac:dyDescent="0.25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hidden="1" x14ac:dyDescent="0.25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hidden="1" x14ac:dyDescent="0.25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hidden="1" x14ac:dyDescent="0.25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hidden="1" x14ac:dyDescent="0.25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hidden="1" x14ac:dyDescent="0.25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hidden="1" x14ac:dyDescent="0.25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hidden="1" x14ac:dyDescent="0.25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hidden="1" x14ac:dyDescent="0.25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hidden="1" x14ac:dyDescent="0.25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hidden="1" x14ac:dyDescent="0.25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hidden="1" x14ac:dyDescent="0.25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hidden="1" x14ac:dyDescent="0.25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hidden="1" x14ac:dyDescent="0.25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hidden="1" x14ac:dyDescent="0.25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hidden="1" x14ac:dyDescent="0.25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hidden="1" x14ac:dyDescent="0.25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hidden="1" x14ac:dyDescent="0.25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hidden="1" x14ac:dyDescent="0.25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hidden="1" x14ac:dyDescent="0.25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hidden="1" x14ac:dyDescent="0.25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hidden="1" x14ac:dyDescent="0.25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hidden="1" x14ac:dyDescent="0.25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hidden="1" x14ac:dyDescent="0.25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hidden="1" x14ac:dyDescent="0.25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hidden="1" x14ac:dyDescent="0.25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hidden="1" x14ac:dyDescent="0.25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hidden="1" x14ac:dyDescent="0.25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hidden="1" x14ac:dyDescent="0.25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hidden="1" x14ac:dyDescent="0.25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hidden="1" x14ac:dyDescent="0.25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hidden="1" x14ac:dyDescent="0.25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hidden="1" x14ac:dyDescent="0.25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hidden="1" x14ac:dyDescent="0.25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hidden="1" x14ac:dyDescent="0.25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hidden="1" x14ac:dyDescent="0.25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hidden="1" x14ac:dyDescent="0.25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hidden="1" x14ac:dyDescent="0.25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hidden="1" x14ac:dyDescent="0.25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hidden="1" x14ac:dyDescent="0.25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hidden="1" x14ac:dyDescent="0.25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hidden="1" x14ac:dyDescent="0.25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hidden="1" x14ac:dyDescent="0.25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hidden="1" x14ac:dyDescent="0.25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hidden="1" x14ac:dyDescent="0.25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hidden="1" x14ac:dyDescent="0.25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hidden="1" x14ac:dyDescent="0.25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hidden="1" x14ac:dyDescent="0.25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hidden="1" x14ac:dyDescent="0.25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hidden="1" x14ac:dyDescent="0.25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hidden="1" x14ac:dyDescent="0.25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hidden="1" x14ac:dyDescent="0.25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hidden="1" x14ac:dyDescent="0.25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hidden="1" x14ac:dyDescent="0.25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hidden="1" x14ac:dyDescent="0.25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hidden="1" x14ac:dyDescent="0.25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hidden="1" x14ac:dyDescent="0.25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hidden="1" x14ac:dyDescent="0.25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hidden="1" x14ac:dyDescent="0.25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hidden="1" x14ac:dyDescent="0.25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hidden="1" x14ac:dyDescent="0.25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hidden="1" x14ac:dyDescent="0.25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hidden="1" x14ac:dyDescent="0.25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hidden="1" x14ac:dyDescent="0.25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hidden="1" x14ac:dyDescent="0.25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hidden="1" x14ac:dyDescent="0.25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hidden="1" x14ac:dyDescent="0.25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hidden="1" x14ac:dyDescent="0.25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hidden="1" x14ac:dyDescent="0.25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hidden="1" x14ac:dyDescent="0.25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hidden="1" x14ac:dyDescent="0.25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hidden="1" x14ac:dyDescent="0.25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hidden="1" x14ac:dyDescent="0.25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hidden="1" x14ac:dyDescent="0.25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hidden="1" x14ac:dyDescent="0.25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hidden="1" x14ac:dyDescent="0.25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hidden="1" x14ac:dyDescent="0.25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hidden="1" x14ac:dyDescent="0.25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hidden="1" x14ac:dyDescent="0.25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hidden="1" x14ac:dyDescent="0.25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hidden="1" x14ac:dyDescent="0.25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hidden="1" x14ac:dyDescent="0.25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hidden="1" x14ac:dyDescent="0.25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hidden="1" x14ac:dyDescent="0.25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hidden="1" x14ac:dyDescent="0.25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hidden="1" x14ac:dyDescent="0.25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hidden="1" x14ac:dyDescent="0.25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hidden="1" x14ac:dyDescent="0.25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hidden="1" x14ac:dyDescent="0.25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hidden="1" x14ac:dyDescent="0.25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hidden="1" x14ac:dyDescent="0.25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hidden="1" x14ac:dyDescent="0.25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hidden="1" x14ac:dyDescent="0.25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hidden="1" x14ac:dyDescent="0.25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hidden="1" x14ac:dyDescent="0.25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hidden="1" x14ac:dyDescent="0.25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hidden="1" x14ac:dyDescent="0.25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hidden="1" x14ac:dyDescent="0.25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hidden="1" x14ac:dyDescent="0.25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hidden="1" x14ac:dyDescent="0.25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hidden="1" x14ac:dyDescent="0.25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hidden="1" x14ac:dyDescent="0.25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hidden="1" x14ac:dyDescent="0.25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hidden="1" x14ac:dyDescent="0.25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hidden="1" x14ac:dyDescent="0.25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hidden="1" x14ac:dyDescent="0.25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hidden="1" x14ac:dyDescent="0.25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hidden="1" x14ac:dyDescent="0.25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hidden="1" x14ac:dyDescent="0.25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hidden="1" x14ac:dyDescent="0.25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hidden="1" x14ac:dyDescent="0.25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hidden="1" x14ac:dyDescent="0.25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hidden="1" x14ac:dyDescent="0.25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hidden="1" x14ac:dyDescent="0.25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hidden="1" x14ac:dyDescent="0.25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hidden="1" x14ac:dyDescent="0.25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hidden="1" x14ac:dyDescent="0.25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hidden="1" x14ac:dyDescent="0.25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hidden="1" x14ac:dyDescent="0.25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hidden="1" x14ac:dyDescent="0.25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hidden="1" x14ac:dyDescent="0.25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hidden="1" x14ac:dyDescent="0.25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hidden="1" x14ac:dyDescent="0.25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hidden="1" x14ac:dyDescent="0.25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hidden="1" x14ac:dyDescent="0.25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hidden="1" x14ac:dyDescent="0.25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hidden="1" x14ac:dyDescent="0.25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hidden="1" x14ac:dyDescent="0.25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hidden="1" x14ac:dyDescent="0.25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hidden="1" x14ac:dyDescent="0.25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hidden="1" x14ac:dyDescent="0.25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hidden="1" x14ac:dyDescent="0.25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hidden="1" x14ac:dyDescent="0.25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hidden="1" x14ac:dyDescent="0.25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hidden="1" x14ac:dyDescent="0.25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hidden="1" x14ac:dyDescent="0.25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hidden="1" x14ac:dyDescent="0.25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hidden="1" x14ac:dyDescent="0.25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hidden="1" x14ac:dyDescent="0.25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hidden="1" x14ac:dyDescent="0.25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hidden="1" x14ac:dyDescent="0.25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hidden="1" x14ac:dyDescent="0.25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hidden="1" x14ac:dyDescent="0.25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hidden="1" x14ac:dyDescent="0.25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hidden="1" x14ac:dyDescent="0.25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hidden="1" x14ac:dyDescent="0.25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hidden="1" x14ac:dyDescent="0.25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hidden="1" x14ac:dyDescent="0.25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hidden="1" x14ac:dyDescent="0.25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hidden="1" x14ac:dyDescent="0.25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hidden="1" x14ac:dyDescent="0.25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hidden="1" x14ac:dyDescent="0.25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hidden="1" x14ac:dyDescent="0.25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hidden="1" x14ac:dyDescent="0.25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hidden="1" x14ac:dyDescent="0.25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hidden="1" x14ac:dyDescent="0.25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hidden="1" x14ac:dyDescent="0.25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hidden="1" x14ac:dyDescent="0.25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hidden="1" x14ac:dyDescent="0.25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hidden="1" x14ac:dyDescent="0.25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hidden="1" x14ac:dyDescent="0.25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hidden="1" x14ac:dyDescent="0.25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hidden="1" x14ac:dyDescent="0.25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hidden="1" x14ac:dyDescent="0.25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hidden="1" x14ac:dyDescent="0.25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hidden="1" x14ac:dyDescent="0.25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hidden="1" x14ac:dyDescent="0.25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hidden="1" x14ac:dyDescent="0.25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hidden="1" x14ac:dyDescent="0.25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hidden="1" x14ac:dyDescent="0.25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hidden="1" x14ac:dyDescent="0.25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hidden="1" x14ac:dyDescent="0.25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hidden="1" x14ac:dyDescent="0.25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hidden="1" x14ac:dyDescent="0.25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hidden="1" x14ac:dyDescent="0.25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hidden="1" x14ac:dyDescent="0.25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hidden="1" x14ac:dyDescent="0.25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hidden="1" x14ac:dyDescent="0.25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hidden="1" x14ac:dyDescent="0.25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hidden="1" x14ac:dyDescent="0.25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hidden="1" x14ac:dyDescent="0.25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hidden="1" x14ac:dyDescent="0.25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hidden="1" x14ac:dyDescent="0.25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hidden="1" x14ac:dyDescent="0.25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hidden="1" x14ac:dyDescent="0.25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hidden="1" x14ac:dyDescent="0.25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hidden="1" x14ac:dyDescent="0.25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hidden="1" x14ac:dyDescent="0.25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hidden="1" x14ac:dyDescent="0.25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hidden="1" x14ac:dyDescent="0.25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hidden="1" x14ac:dyDescent="0.25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hidden="1" x14ac:dyDescent="0.25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hidden="1" x14ac:dyDescent="0.25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hidden="1" x14ac:dyDescent="0.25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hidden="1" x14ac:dyDescent="0.25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hidden="1" x14ac:dyDescent="0.25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hidden="1" x14ac:dyDescent="0.25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hidden="1" x14ac:dyDescent="0.25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hidden="1" x14ac:dyDescent="0.25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hidden="1" x14ac:dyDescent="0.25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hidden="1" x14ac:dyDescent="0.25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hidden="1" x14ac:dyDescent="0.25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hidden="1" x14ac:dyDescent="0.25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hidden="1" x14ac:dyDescent="0.25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hidden="1" x14ac:dyDescent="0.25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hidden="1" x14ac:dyDescent="0.25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hidden="1" x14ac:dyDescent="0.25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hidden="1" x14ac:dyDescent="0.25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hidden="1" x14ac:dyDescent="0.25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hidden="1" x14ac:dyDescent="0.25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hidden="1" x14ac:dyDescent="0.25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hidden="1" x14ac:dyDescent="0.25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hidden="1" x14ac:dyDescent="0.25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hidden="1" x14ac:dyDescent="0.25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hidden="1" x14ac:dyDescent="0.25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hidden="1" x14ac:dyDescent="0.25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hidden="1" x14ac:dyDescent="0.25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hidden="1" x14ac:dyDescent="0.25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hidden="1" x14ac:dyDescent="0.25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hidden="1" x14ac:dyDescent="0.25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hidden="1" x14ac:dyDescent="0.25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hidden="1" x14ac:dyDescent="0.25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hidden="1" x14ac:dyDescent="0.25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hidden="1" x14ac:dyDescent="0.25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hidden="1" x14ac:dyDescent="0.25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hidden="1" x14ac:dyDescent="0.25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hidden="1" x14ac:dyDescent="0.25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hidden="1" x14ac:dyDescent="0.25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hidden="1" x14ac:dyDescent="0.25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hidden="1" x14ac:dyDescent="0.25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hidden="1" x14ac:dyDescent="0.25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hidden="1" x14ac:dyDescent="0.25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hidden="1" x14ac:dyDescent="0.25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hidden="1" x14ac:dyDescent="0.25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hidden="1" x14ac:dyDescent="0.25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hidden="1" x14ac:dyDescent="0.25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hidden="1" x14ac:dyDescent="0.25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hidden="1" x14ac:dyDescent="0.25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hidden="1" x14ac:dyDescent="0.25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hidden="1" x14ac:dyDescent="0.25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hidden="1" x14ac:dyDescent="0.25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hidden="1" x14ac:dyDescent="0.25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hidden="1" x14ac:dyDescent="0.25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hidden="1" x14ac:dyDescent="0.25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hidden="1" x14ac:dyDescent="0.25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hidden="1" x14ac:dyDescent="0.25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hidden="1" x14ac:dyDescent="0.25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hidden="1" x14ac:dyDescent="0.25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hidden="1" x14ac:dyDescent="0.25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hidden="1" x14ac:dyDescent="0.25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hidden="1" x14ac:dyDescent="0.25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hidden="1" x14ac:dyDescent="0.25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hidden="1" x14ac:dyDescent="0.25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hidden="1" x14ac:dyDescent="0.25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hidden="1" x14ac:dyDescent="0.25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hidden="1" x14ac:dyDescent="0.25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hidden="1" x14ac:dyDescent="0.25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hidden="1" x14ac:dyDescent="0.25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hidden="1" x14ac:dyDescent="0.25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hidden="1" x14ac:dyDescent="0.25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hidden="1" x14ac:dyDescent="0.25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hidden="1" x14ac:dyDescent="0.25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hidden="1" x14ac:dyDescent="0.25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hidden="1" x14ac:dyDescent="0.25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hidden="1" x14ac:dyDescent="0.25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hidden="1" x14ac:dyDescent="0.25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hidden="1" x14ac:dyDescent="0.25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hidden="1" x14ac:dyDescent="0.25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hidden="1" x14ac:dyDescent="0.25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hidden="1" x14ac:dyDescent="0.25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hidden="1" x14ac:dyDescent="0.25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hidden="1" x14ac:dyDescent="0.25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hidden="1" x14ac:dyDescent="0.25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hidden="1" x14ac:dyDescent="0.25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hidden="1" x14ac:dyDescent="0.25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hidden="1" x14ac:dyDescent="0.25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hidden="1" x14ac:dyDescent="0.25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hidden="1" x14ac:dyDescent="0.25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hidden="1" x14ac:dyDescent="0.25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hidden="1" x14ac:dyDescent="0.25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hidden="1" x14ac:dyDescent="0.25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hidden="1" x14ac:dyDescent="0.25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hidden="1" x14ac:dyDescent="0.25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hidden="1" x14ac:dyDescent="0.25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hidden="1" x14ac:dyDescent="0.25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hidden="1" x14ac:dyDescent="0.25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hidden="1" x14ac:dyDescent="0.25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hidden="1" x14ac:dyDescent="0.25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hidden="1" x14ac:dyDescent="0.25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hidden="1" x14ac:dyDescent="0.25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hidden="1" x14ac:dyDescent="0.25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hidden="1" x14ac:dyDescent="0.25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hidden="1" x14ac:dyDescent="0.25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hidden="1" x14ac:dyDescent="0.25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hidden="1" x14ac:dyDescent="0.25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hidden="1" x14ac:dyDescent="0.25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hidden="1" x14ac:dyDescent="0.25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hidden="1" x14ac:dyDescent="0.25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hidden="1" x14ac:dyDescent="0.25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hidden="1" x14ac:dyDescent="0.25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hidden="1" x14ac:dyDescent="0.25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hidden="1" x14ac:dyDescent="0.25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hidden="1" x14ac:dyDescent="0.25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hidden="1" x14ac:dyDescent="0.25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hidden="1" x14ac:dyDescent="0.25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hidden="1" x14ac:dyDescent="0.25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hidden="1" x14ac:dyDescent="0.25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hidden="1" x14ac:dyDescent="0.25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hidden="1" x14ac:dyDescent="0.25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hidden="1" x14ac:dyDescent="0.25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hidden="1" x14ac:dyDescent="0.25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hidden="1" x14ac:dyDescent="0.25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hidden="1" x14ac:dyDescent="0.25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hidden="1" x14ac:dyDescent="0.25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hidden="1" x14ac:dyDescent="0.25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hidden="1" x14ac:dyDescent="0.25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hidden="1" x14ac:dyDescent="0.25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hidden="1" x14ac:dyDescent="0.25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hidden="1" x14ac:dyDescent="0.25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hidden="1" x14ac:dyDescent="0.25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hidden="1" x14ac:dyDescent="0.25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hidden="1" x14ac:dyDescent="0.25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hidden="1" x14ac:dyDescent="0.25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hidden="1" x14ac:dyDescent="0.25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hidden="1" x14ac:dyDescent="0.25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hidden="1" x14ac:dyDescent="0.25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hidden="1" x14ac:dyDescent="0.25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hidden="1" x14ac:dyDescent="0.25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hidden="1" x14ac:dyDescent="0.25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hidden="1" x14ac:dyDescent="0.25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hidden="1" x14ac:dyDescent="0.25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hidden="1" x14ac:dyDescent="0.25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hidden="1" x14ac:dyDescent="0.25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hidden="1" x14ac:dyDescent="0.25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hidden="1" x14ac:dyDescent="0.25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hidden="1" x14ac:dyDescent="0.25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hidden="1" x14ac:dyDescent="0.25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hidden="1" x14ac:dyDescent="0.25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hidden="1" x14ac:dyDescent="0.25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hidden="1" x14ac:dyDescent="0.25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hidden="1" x14ac:dyDescent="0.25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hidden="1" x14ac:dyDescent="0.25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hidden="1" x14ac:dyDescent="0.25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hidden="1" x14ac:dyDescent="0.25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hidden="1" x14ac:dyDescent="0.25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hidden="1" x14ac:dyDescent="0.25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hidden="1" x14ac:dyDescent="0.25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hidden="1" x14ac:dyDescent="0.25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hidden="1" x14ac:dyDescent="0.25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hidden="1" x14ac:dyDescent="0.25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hidden="1" x14ac:dyDescent="0.25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hidden="1" x14ac:dyDescent="0.25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hidden="1" x14ac:dyDescent="0.25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hidden="1" x14ac:dyDescent="0.25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hidden="1" x14ac:dyDescent="0.25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hidden="1" x14ac:dyDescent="0.25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hidden="1" x14ac:dyDescent="0.25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hidden="1" x14ac:dyDescent="0.25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hidden="1" x14ac:dyDescent="0.25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hidden="1" x14ac:dyDescent="0.25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hidden="1" x14ac:dyDescent="0.25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hidden="1" x14ac:dyDescent="0.25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hidden="1" x14ac:dyDescent="0.25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hidden="1" x14ac:dyDescent="0.25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hidden="1" x14ac:dyDescent="0.25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hidden="1" x14ac:dyDescent="0.25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hidden="1" x14ac:dyDescent="0.25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hidden="1" x14ac:dyDescent="0.25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hidden="1" x14ac:dyDescent="0.25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hidden="1" x14ac:dyDescent="0.25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hidden="1" x14ac:dyDescent="0.25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hidden="1" x14ac:dyDescent="0.25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hidden="1" x14ac:dyDescent="0.25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hidden="1" x14ac:dyDescent="0.25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hidden="1" x14ac:dyDescent="0.25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hidden="1" x14ac:dyDescent="0.25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hidden="1" x14ac:dyDescent="0.25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hidden="1" x14ac:dyDescent="0.25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hidden="1" x14ac:dyDescent="0.25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hidden="1" x14ac:dyDescent="0.25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hidden="1" x14ac:dyDescent="0.25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hidden="1" x14ac:dyDescent="0.25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hidden="1" x14ac:dyDescent="0.25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hidden="1" x14ac:dyDescent="0.25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hidden="1" x14ac:dyDescent="0.25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hidden="1" x14ac:dyDescent="0.25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hidden="1" x14ac:dyDescent="0.25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hidden="1" x14ac:dyDescent="0.25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hidden="1" x14ac:dyDescent="0.25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hidden="1" x14ac:dyDescent="0.25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hidden="1" x14ac:dyDescent="0.25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hidden="1" x14ac:dyDescent="0.25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hidden="1" x14ac:dyDescent="0.25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hidden="1" x14ac:dyDescent="0.25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hidden="1" x14ac:dyDescent="0.25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hidden="1" x14ac:dyDescent="0.25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hidden="1" x14ac:dyDescent="0.25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hidden="1" x14ac:dyDescent="0.25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hidden="1" x14ac:dyDescent="0.25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hidden="1" x14ac:dyDescent="0.25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hidden="1" x14ac:dyDescent="0.25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hidden="1" x14ac:dyDescent="0.25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hidden="1" x14ac:dyDescent="0.25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hidden="1" x14ac:dyDescent="0.25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hidden="1" x14ac:dyDescent="0.25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hidden="1" x14ac:dyDescent="0.25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hidden="1" x14ac:dyDescent="0.25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hidden="1" x14ac:dyDescent="0.25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hidden="1" x14ac:dyDescent="0.25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hidden="1" x14ac:dyDescent="0.25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hidden="1" x14ac:dyDescent="0.25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hidden="1" x14ac:dyDescent="0.25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hidden="1" x14ac:dyDescent="0.25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hidden="1" x14ac:dyDescent="0.25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hidden="1" x14ac:dyDescent="0.25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hidden="1" x14ac:dyDescent="0.25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hidden="1" x14ac:dyDescent="0.25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hidden="1" x14ac:dyDescent="0.25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hidden="1" x14ac:dyDescent="0.25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hidden="1" x14ac:dyDescent="0.25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hidden="1" x14ac:dyDescent="0.25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hidden="1" x14ac:dyDescent="0.25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hidden="1" x14ac:dyDescent="0.25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hidden="1" x14ac:dyDescent="0.25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hidden="1" x14ac:dyDescent="0.25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hidden="1" x14ac:dyDescent="0.25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hidden="1" x14ac:dyDescent="0.25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hidden="1" x14ac:dyDescent="0.25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hidden="1" x14ac:dyDescent="0.25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hidden="1" x14ac:dyDescent="0.25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hidden="1" x14ac:dyDescent="0.25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hidden="1" x14ac:dyDescent="0.25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hidden="1" x14ac:dyDescent="0.25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hidden="1" x14ac:dyDescent="0.25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hidden="1" x14ac:dyDescent="0.25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hidden="1" x14ac:dyDescent="0.25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hidden="1" x14ac:dyDescent="0.25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hidden="1" x14ac:dyDescent="0.25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hidden="1" x14ac:dyDescent="0.25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hidden="1" x14ac:dyDescent="0.25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hidden="1" x14ac:dyDescent="0.25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hidden="1" x14ac:dyDescent="0.25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hidden="1" x14ac:dyDescent="0.25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hidden="1" x14ac:dyDescent="0.25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hidden="1" x14ac:dyDescent="0.25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hidden="1" x14ac:dyDescent="0.25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hidden="1" x14ac:dyDescent="0.25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hidden="1" x14ac:dyDescent="0.25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hidden="1" x14ac:dyDescent="0.25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hidden="1" x14ac:dyDescent="0.25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hidden="1" x14ac:dyDescent="0.25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hidden="1" x14ac:dyDescent="0.25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hidden="1" x14ac:dyDescent="0.25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hidden="1" x14ac:dyDescent="0.25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hidden="1" x14ac:dyDescent="0.25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hidden="1" x14ac:dyDescent="0.25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hidden="1" x14ac:dyDescent="0.25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hidden="1" x14ac:dyDescent="0.25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hidden="1" x14ac:dyDescent="0.25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hidden="1" x14ac:dyDescent="0.25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hidden="1" x14ac:dyDescent="0.25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hidden="1" x14ac:dyDescent="0.25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hidden="1" x14ac:dyDescent="0.25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hidden="1" x14ac:dyDescent="0.25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hidden="1" x14ac:dyDescent="0.25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hidden="1" x14ac:dyDescent="0.25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hidden="1" x14ac:dyDescent="0.25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hidden="1" x14ac:dyDescent="0.25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hidden="1" x14ac:dyDescent="0.25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hidden="1" x14ac:dyDescent="0.25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hidden="1" x14ac:dyDescent="0.25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hidden="1" x14ac:dyDescent="0.25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hidden="1" x14ac:dyDescent="0.25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hidden="1" x14ac:dyDescent="0.25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hidden="1" x14ac:dyDescent="0.25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hidden="1" x14ac:dyDescent="0.25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hidden="1" x14ac:dyDescent="0.25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hidden="1" x14ac:dyDescent="0.25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hidden="1" x14ac:dyDescent="0.25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hidden="1" x14ac:dyDescent="0.25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hidden="1" x14ac:dyDescent="0.25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hidden="1" x14ac:dyDescent="0.25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hidden="1" x14ac:dyDescent="0.25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hidden="1" x14ac:dyDescent="0.25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hidden="1" x14ac:dyDescent="0.25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hidden="1" x14ac:dyDescent="0.25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hidden="1" x14ac:dyDescent="0.25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hidden="1" x14ac:dyDescent="0.25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hidden="1" x14ac:dyDescent="0.25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hidden="1" x14ac:dyDescent="0.25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hidden="1" x14ac:dyDescent="0.25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hidden="1" x14ac:dyDescent="0.25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hidden="1" x14ac:dyDescent="0.25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hidden="1" x14ac:dyDescent="0.25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hidden="1" x14ac:dyDescent="0.25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hidden="1" x14ac:dyDescent="0.25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hidden="1" x14ac:dyDescent="0.25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hidden="1" x14ac:dyDescent="0.25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hidden="1" x14ac:dyDescent="0.25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hidden="1" x14ac:dyDescent="0.25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hidden="1" x14ac:dyDescent="0.25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hidden="1" x14ac:dyDescent="0.25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hidden="1" x14ac:dyDescent="0.25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hidden="1" x14ac:dyDescent="0.25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hidden="1" x14ac:dyDescent="0.25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hidden="1" x14ac:dyDescent="0.25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hidden="1" x14ac:dyDescent="0.25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hidden="1" x14ac:dyDescent="0.25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hidden="1" x14ac:dyDescent="0.25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hidden="1" x14ac:dyDescent="0.25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hidden="1" x14ac:dyDescent="0.25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hidden="1" x14ac:dyDescent="0.25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hidden="1" x14ac:dyDescent="0.25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hidden="1" x14ac:dyDescent="0.25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hidden="1" x14ac:dyDescent="0.25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hidden="1" x14ac:dyDescent="0.25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hidden="1" x14ac:dyDescent="0.25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hidden="1" x14ac:dyDescent="0.25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hidden="1" x14ac:dyDescent="0.25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hidden="1" x14ac:dyDescent="0.25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hidden="1" x14ac:dyDescent="0.25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hidden="1" x14ac:dyDescent="0.25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hidden="1" x14ac:dyDescent="0.25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hidden="1" x14ac:dyDescent="0.25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hidden="1" x14ac:dyDescent="0.25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hidden="1" x14ac:dyDescent="0.25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hidden="1" x14ac:dyDescent="0.25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hidden="1" x14ac:dyDescent="0.25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hidden="1" x14ac:dyDescent="0.25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hidden="1" x14ac:dyDescent="0.25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hidden="1" x14ac:dyDescent="0.25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hidden="1" x14ac:dyDescent="0.25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hidden="1" x14ac:dyDescent="0.25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hidden="1" x14ac:dyDescent="0.25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hidden="1" x14ac:dyDescent="0.25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hidden="1" x14ac:dyDescent="0.25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hidden="1" x14ac:dyDescent="0.25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hidden="1" x14ac:dyDescent="0.25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hidden="1" x14ac:dyDescent="0.25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hidden="1" x14ac:dyDescent="0.25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hidden="1" x14ac:dyDescent="0.25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hidden="1" x14ac:dyDescent="0.25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hidden="1" x14ac:dyDescent="0.25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hidden="1" x14ac:dyDescent="0.25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hidden="1" x14ac:dyDescent="0.25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hidden="1" x14ac:dyDescent="0.25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hidden="1" x14ac:dyDescent="0.25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hidden="1" x14ac:dyDescent="0.25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hidden="1" x14ac:dyDescent="0.25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hidden="1" x14ac:dyDescent="0.25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hidden="1" x14ac:dyDescent="0.25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hidden="1" x14ac:dyDescent="0.25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hidden="1" x14ac:dyDescent="0.25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hidden="1" x14ac:dyDescent="0.25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hidden="1" x14ac:dyDescent="0.25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hidden="1" x14ac:dyDescent="0.25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hidden="1" x14ac:dyDescent="0.25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hidden="1" x14ac:dyDescent="0.25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hidden="1" x14ac:dyDescent="0.25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hidden="1" x14ac:dyDescent="0.25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hidden="1" x14ac:dyDescent="0.25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hidden="1" x14ac:dyDescent="0.25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hidden="1" x14ac:dyDescent="0.25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hidden="1" x14ac:dyDescent="0.25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hidden="1" x14ac:dyDescent="0.25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hidden="1" x14ac:dyDescent="0.25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hidden="1" x14ac:dyDescent="0.25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hidden="1" x14ac:dyDescent="0.25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hidden="1" x14ac:dyDescent="0.25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hidden="1" x14ac:dyDescent="0.25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hidden="1" x14ac:dyDescent="0.25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hidden="1" x14ac:dyDescent="0.25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hidden="1" x14ac:dyDescent="0.25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hidden="1" x14ac:dyDescent="0.25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hidden="1" x14ac:dyDescent="0.25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hidden="1" x14ac:dyDescent="0.25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hidden="1" x14ac:dyDescent="0.25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hidden="1" x14ac:dyDescent="0.25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hidden="1" x14ac:dyDescent="0.25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hidden="1" x14ac:dyDescent="0.25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hidden="1" x14ac:dyDescent="0.25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hidden="1" x14ac:dyDescent="0.25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hidden="1" x14ac:dyDescent="0.25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hidden="1" x14ac:dyDescent="0.25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hidden="1" x14ac:dyDescent="0.25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hidden="1" x14ac:dyDescent="0.25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hidden="1" x14ac:dyDescent="0.25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hidden="1" x14ac:dyDescent="0.25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hidden="1" x14ac:dyDescent="0.25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hidden="1" x14ac:dyDescent="0.25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hidden="1" x14ac:dyDescent="0.25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hidden="1" x14ac:dyDescent="0.25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hidden="1" x14ac:dyDescent="0.25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hidden="1" x14ac:dyDescent="0.25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hidden="1" x14ac:dyDescent="0.25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hidden="1" x14ac:dyDescent="0.25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hidden="1" x14ac:dyDescent="0.25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hidden="1" x14ac:dyDescent="0.25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hidden="1" x14ac:dyDescent="0.25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hidden="1" x14ac:dyDescent="0.25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hidden="1" x14ac:dyDescent="0.25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hidden="1" x14ac:dyDescent="0.25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hidden="1" x14ac:dyDescent="0.25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hidden="1" x14ac:dyDescent="0.25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hidden="1" x14ac:dyDescent="0.25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hidden="1" x14ac:dyDescent="0.25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hidden="1" x14ac:dyDescent="0.25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hidden="1" x14ac:dyDescent="0.25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hidden="1" x14ac:dyDescent="0.25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hidden="1" x14ac:dyDescent="0.25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hidden="1" x14ac:dyDescent="0.25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hidden="1" x14ac:dyDescent="0.25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hidden="1" x14ac:dyDescent="0.25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hidden="1" x14ac:dyDescent="0.25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hidden="1" x14ac:dyDescent="0.25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hidden="1" x14ac:dyDescent="0.25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hidden="1" x14ac:dyDescent="0.25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hidden="1" x14ac:dyDescent="0.25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hidden="1" x14ac:dyDescent="0.25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hidden="1" x14ac:dyDescent="0.25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hidden="1" x14ac:dyDescent="0.25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hidden="1" x14ac:dyDescent="0.25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hidden="1" x14ac:dyDescent="0.25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hidden="1" x14ac:dyDescent="0.25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hidden="1" x14ac:dyDescent="0.25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hidden="1" x14ac:dyDescent="0.25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hidden="1" x14ac:dyDescent="0.25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hidden="1" x14ac:dyDescent="0.25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hidden="1" x14ac:dyDescent="0.25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hidden="1" x14ac:dyDescent="0.25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hidden="1" x14ac:dyDescent="0.25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hidden="1" x14ac:dyDescent="0.25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hidden="1" x14ac:dyDescent="0.25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hidden="1" x14ac:dyDescent="0.25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hidden="1" x14ac:dyDescent="0.25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hidden="1" x14ac:dyDescent="0.25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hidden="1" x14ac:dyDescent="0.25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hidden="1" x14ac:dyDescent="0.25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hidden="1" x14ac:dyDescent="0.25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hidden="1" x14ac:dyDescent="0.25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hidden="1" x14ac:dyDescent="0.25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hidden="1" x14ac:dyDescent="0.25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hidden="1" x14ac:dyDescent="0.25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hidden="1" x14ac:dyDescent="0.25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hidden="1" x14ac:dyDescent="0.25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hidden="1" x14ac:dyDescent="0.25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hidden="1" x14ac:dyDescent="0.25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hidden="1" x14ac:dyDescent="0.25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hidden="1" x14ac:dyDescent="0.25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hidden="1" x14ac:dyDescent="0.25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hidden="1" x14ac:dyDescent="0.25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hidden="1" x14ac:dyDescent="0.25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hidden="1" x14ac:dyDescent="0.25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hidden="1" x14ac:dyDescent="0.25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hidden="1" x14ac:dyDescent="0.25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hidden="1" x14ac:dyDescent="0.25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hidden="1" x14ac:dyDescent="0.25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hidden="1" x14ac:dyDescent="0.25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hidden="1" x14ac:dyDescent="0.25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hidden="1" x14ac:dyDescent="0.25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hidden="1" x14ac:dyDescent="0.25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hidden="1" x14ac:dyDescent="0.25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hidden="1" x14ac:dyDescent="0.25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hidden="1" x14ac:dyDescent="0.25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hidden="1" x14ac:dyDescent="0.25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hidden="1" x14ac:dyDescent="0.25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hidden="1" x14ac:dyDescent="0.25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hidden="1" x14ac:dyDescent="0.25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hidden="1" x14ac:dyDescent="0.25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hidden="1" x14ac:dyDescent="0.25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hidden="1" x14ac:dyDescent="0.25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hidden="1" x14ac:dyDescent="0.25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hidden="1" x14ac:dyDescent="0.25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hidden="1" x14ac:dyDescent="0.25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hidden="1" x14ac:dyDescent="0.25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hidden="1" x14ac:dyDescent="0.25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hidden="1" x14ac:dyDescent="0.25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hidden="1" x14ac:dyDescent="0.25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hidden="1" x14ac:dyDescent="0.25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hidden="1" x14ac:dyDescent="0.25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hidden="1" x14ac:dyDescent="0.25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hidden="1" x14ac:dyDescent="0.25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hidden="1" x14ac:dyDescent="0.25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hidden="1" x14ac:dyDescent="0.25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hidden="1" x14ac:dyDescent="0.25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hidden="1" x14ac:dyDescent="0.25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hidden="1" x14ac:dyDescent="0.25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hidden="1" x14ac:dyDescent="0.25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hidden="1" x14ac:dyDescent="0.25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hidden="1" x14ac:dyDescent="0.25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hidden="1" x14ac:dyDescent="0.25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hidden="1" x14ac:dyDescent="0.25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hidden="1" x14ac:dyDescent="0.25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hidden="1" x14ac:dyDescent="0.25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hidden="1" x14ac:dyDescent="0.25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hidden="1" x14ac:dyDescent="0.25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hidden="1" x14ac:dyDescent="0.25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hidden="1" x14ac:dyDescent="0.25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hidden="1" x14ac:dyDescent="0.25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hidden="1" x14ac:dyDescent="0.25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hidden="1" x14ac:dyDescent="0.25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hidden="1" x14ac:dyDescent="0.25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hidden="1" x14ac:dyDescent="0.25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hidden="1" x14ac:dyDescent="0.25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hidden="1" x14ac:dyDescent="0.25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hidden="1" x14ac:dyDescent="0.25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hidden="1" x14ac:dyDescent="0.25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hidden="1" x14ac:dyDescent="0.25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hidden="1" x14ac:dyDescent="0.25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hidden="1" x14ac:dyDescent="0.25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hidden="1" x14ac:dyDescent="0.25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hidden="1" x14ac:dyDescent="0.25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hidden="1" x14ac:dyDescent="0.25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hidden="1" x14ac:dyDescent="0.25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hidden="1" x14ac:dyDescent="0.25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hidden="1" x14ac:dyDescent="0.25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hidden="1" x14ac:dyDescent="0.25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hidden="1" x14ac:dyDescent="0.25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hidden="1" x14ac:dyDescent="0.25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hidden="1" x14ac:dyDescent="0.25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hidden="1" x14ac:dyDescent="0.25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hidden="1" x14ac:dyDescent="0.25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hidden="1" x14ac:dyDescent="0.25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hidden="1" x14ac:dyDescent="0.25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hidden="1" x14ac:dyDescent="0.25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hidden="1" x14ac:dyDescent="0.25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hidden="1" x14ac:dyDescent="0.25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hidden="1" x14ac:dyDescent="0.25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hidden="1" x14ac:dyDescent="0.25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hidden="1" x14ac:dyDescent="0.25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hidden="1" x14ac:dyDescent="0.25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hidden="1" x14ac:dyDescent="0.25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hidden="1" x14ac:dyDescent="0.25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hidden="1" x14ac:dyDescent="0.25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hidden="1" x14ac:dyDescent="0.25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hidden="1" x14ac:dyDescent="0.25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hidden="1" x14ac:dyDescent="0.25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hidden="1" x14ac:dyDescent="0.25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hidden="1" x14ac:dyDescent="0.25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hidden="1" x14ac:dyDescent="0.25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hidden="1" x14ac:dyDescent="0.25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hidden="1" x14ac:dyDescent="0.25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hidden="1" x14ac:dyDescent="0.25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hidden="1" x14ac:dyDescent="0.25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hidden="1" x14ac:dyDescent="0.25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hidden="1" x14ac:dyDescent="0.25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hidden="1" x14ac:dyDescent="0.25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hidden="1" x14ac:dyDescent="0.25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hidden="1" x14ac:dyDescent="0.25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hidden="1" x14ac:dyDescent="0.25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hidden="1" x14ac:dyDescent="0.25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hidden="1" x14ac:dyDescent="0.25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hidden="1" x14ac:dyDescent="0.25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hidden="1" x14ac:dyDescent="0.25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hidden="1" x14ac:dyDescent="0.25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hidden="1" x14ac:dyDescent="0.25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hidden="1" x14ac:dyDescent="0.25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hidden="1" x14ac:dyDescent="0.25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hidden="1" x14ac:dyDescent="0.25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hidden="1" x14ac:dyDescent="0.25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hidden="1" x14ac:dyDescent="0.25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hidden="1" x14ac:dyDescent="0.25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hidden="1" x14ac:dyDescent="0.25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hidden="1" x14ac:dyDescent="0.25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hidden="1" x14ac:dyDescent="0.25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hidden="1" x14ac:dyDescent="0.25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hidden="1" x14ac:dyDescent="0.25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hidden="1" x14ac:dyDescent="0.25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hidden="1" x14ac:dyDescent="0.25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hidden="1" x14ac:dyDescent="0.25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hidden="1" x14ac:dyDescent="0.25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hidden="1" x14ac:dyDescent="0.25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hidden="1" x14ac:dyDescent="0.25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hidden="1" x14ac:dyDescent="0.25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hidden="1" x14ac:dyDescent="0.25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hidden="1" x14ac:dyDescent="0.25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hidden="1" x14ac:dyDescent="0.25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hidden="1" x14ac:dyDescent="0.25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hidden="1" x14ac:dyDescent="0.25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hidden="1" x14ac:dyDescent="0.25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hidden="1" x14ac:dyDescent="0.25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hidden="1" x14ac:dyDescent="0.25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hidden="1" x14ac:dyDescent="0.25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hidden="1" x14ac:dyDescent="0.25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hidden="1" x14ac:dyDescent="0.25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hidden="1" x14ac:dyDescent="0.25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hidden="1" x14ac:dyDescent="0.25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hidden="1" x14ac:dyDescent="0.25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hidden="1" x14ac:dyDescent="0.25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hidden="1" x14ac:dyDescent="0.25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hidden="1" x14ac:dyDescent="0.25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hidden="1" x14ac:dyDescent="0.25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hidden="1" x14ac:dyDescent="0.25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hidden="1" x14ac:dyDescent="0.25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hidden="1" x14ac:dyDescent="0.25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hidden="1" x14ac:dyDescent="0.25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hidden="1" x14ac:dyDescent="0.25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hidden="1" x14ac:dyDescent="0.25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hidden="1" x14ac:dyDescent="0.25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hidden="1" x14ac:dyDescent="0.25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hidden="1" x14ac:dyDescent="0.25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hidden="1" x14ac:dyDescent="0.25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hidden="1" x14ac:dyDescent="0.25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hidden="1" x14ac:dyDescent="0.25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hidden="1" x14ac:dyDescent="0.25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hidden="1" x14ac:dyDescent="0.25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hidden="1" x14ac:dyDescent="0.25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hidden="1" x14ac:dyDescent="0.25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hidden="1" x14ac:dyDescent="0.25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hidden="1" x14ac:dyDescent="0.25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hidden="1" x14ac:dyDescent="0.25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hidden="1" x14ac:dyDescent="0.25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hidden="1" x14ac:dyDescent="0.25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hidden="1" x14ac:dyDescent="0.25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hidden="1" x14ac:dyDescent="0.25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hidden="1" x14ac:dyDescent="0.25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hidden="1" x14ac:dyDescent="0.25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hidden="1" x14ac:dyDescent="0.25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hidden="1" x14ac:dyDescent="0.25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hidden="1" x14ac:dyDescent="0.25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hidden="1" x14ac:dyDescent="0.25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hidden="1" x14ac:dyDescent="0.25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hidden="1" x14ac:dyDescent="0.25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hidden="1" x14ac:dyDescent="0.25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hidden="1" x14ac:dyDescent="0.25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hidden="1" x14ac:dyDescent="0.25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hidden="1" x14ac:dyDescent="0.25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hidden="1" x14ac:dyDescent="0.25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hidden="1" x14ac:dyDescent="0.25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hidden="1" x14ac:dyDescent="0.25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hidden="1" x14ac:dyDescent="0.25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hidden="1" x14ac:dyDescent="0.25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hidden="1" x14ac:dyDescent="0.25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hidden="1" x14ac:dyDescent="0.25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hidden="1" x14ac:dyDescent="0.25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hidden="1" x14ac:dyDescent="0.25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hidden="1" x14ac:dyDescent="0.25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hidden="1" x14ac:dyDescent="0.25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hidden="1" x14ac:dyDescent="0.25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hidden="1" x14ac:dyDescent="0.25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hidden="1" x14ac:dyDescent="0.25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hidden="1" x14ac:dyDescent="0.25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hidden="1" x14ac:dyDescent="0.25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hidden="1" x14ac:dyDescent="0.25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hidden="1" x14ac:dyDescent="0.25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hidden="1" x14ac:dyDescent="0.25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hidden="1" x14ac:dyDescent="0.25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hidden="1" x14ac:dyDescent="0.25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hidden="1" x14ac:dyDescent="0.25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hidden="1" x14ac:dyDescent="0.25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hidden="1" x14ac:dyDescent="0.25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hidden="1" x14ac:dyDescent="0.25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hidden="1" x14ac:dyDescent="0.25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hidden="1" x14ac:dyDescent="0.25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hidden="1" x14ac:dyDescent="0.25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hidden="1" x14ac:dyDescent="0.25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hidden="1" x14ac:dyDescent="0.25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hidden="1" x14ac:dyDescent="0.25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hidden="1" x14ac:dyDescent="0.25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hidden="1" x14ac:dyDescent="0.25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hidden="1" x14ac:dyDescent="0.25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hidden="1" x14ac:dyDescent="0.25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hidden="1" x14ac:dyDescent="0.25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hidden="1" x14ac:dyDescent="0.25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hidden="1" x14ac:dyDescent="0.25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hidden="1" x14ac:dyDescent="0.25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hidden="1" x14ac:dyDescent="0.25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hidden="1" x14ac:dyDescent="0.25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hidden="1" x14ac:dyDescent="0.25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hidden="1" x14ac:dyDescent="0.25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hidden="1" x14ac:dyDescent="0.25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hidden="1" x14ac:dyDescent="0.25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hidden="1" x14ac:dyDescent="0.25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hidden="1" x14ac:dyDescent="0.25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hidden="1" x14ac:dyDescent="0.25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hidden="1" x14ac:dyDescent="0.25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hidden="1" x14ac:dyDescent="0.25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hidden="1" x14ac:dyDescent="0.25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hidden="1" x14ac:dyDescent="0.25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hidden="1" x14ac:dyDescent="0.25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hidden="1" x14ac:dyDescent="0.25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hidden="1" x14ac:dyDescent="0.25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hidden="1" x14ac:dyDescent="0.25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hidden="1" x14ac:dyDescent="0.25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hidden="1" x14ac:dyDescent="0.25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hidden="1" x14ac:dyDescent="0.25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hidden="1" x14ac:dyDescent="0.25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hidden="1" x14ac:dyDescent="0.25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hidden="1" x14ac:dyDescent="0.25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25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25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25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25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25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25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25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25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25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25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25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25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25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25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25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25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25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25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25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25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25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25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25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25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25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25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25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25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25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25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25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25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25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25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25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25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25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25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25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25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25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25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25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25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25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25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25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25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25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25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25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25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25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25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25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25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25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25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25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25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25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25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25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25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25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25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25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25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25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25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25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25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25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25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25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25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25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25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25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25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25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25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25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25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25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25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25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25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25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25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25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25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25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25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25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25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25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25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25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25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25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25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25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25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25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25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25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25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25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25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25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25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25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25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25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25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25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25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25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25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25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25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25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25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25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25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25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25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25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25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25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25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25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25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25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25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25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25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25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25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25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25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25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25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25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25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25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25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25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25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25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25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25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25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25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25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25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25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25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25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25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25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25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25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25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25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25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25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25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25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25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25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25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25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25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25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25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25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25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25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25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25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25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25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25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25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25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25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25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25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25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25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25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25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25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25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25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25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25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25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25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25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25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25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25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25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25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25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25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25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25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25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25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25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25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25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25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25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25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25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25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25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25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25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25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25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25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25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25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25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25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25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25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25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25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25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25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25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25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25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25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25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25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25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25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25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25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25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25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25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25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25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25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25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25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25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25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25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25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25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25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25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25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25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25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25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25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25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25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25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hidden="1" x14ac:dyDescent="0.25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hidden="1" x14ac:dyDescent="0.25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hidden="1" x14ac:dyDescent="0.25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hidden="1" x14ac:dyDescent="0.25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hidden="1" x14ac:dyDescent="0.25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hidden="1" x14ac:dyDescent="0.25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hidden="1" x14ac:dyDescent="0.25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hidden="1" x14ac:dyDescent="0.25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hidden="1" x14ac:dyDescent="0.25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hidden="1" x14ac:dyDescent="0.25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hidden="1" x14ac:dyDescent="0.25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hidden="1" x14ac:dyDescent="0.25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hidden="1" x14ac:dyDescent="0.25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hidden="1" x14ac:dyDescent="0.25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hidden="1" x14ac:dyDescent="0.25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hidden="1" x14ac:dyDescent="0.25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hidden="1" x14ac:dyDescent="0.25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hidden="1" x14ac:dyDescent="0.25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hidden="1" x14ac:dyDescent="0.25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hidden="1" x14ac:dyDescent="0.25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hidden="1" x14ac:dyDescent="0.25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hidden="1" x14ac:dyDescent="0.25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hidden="1" x14ac:dyDescent="0.25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hidden="1" x14ac:dyDescent="0.25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hidden="1" x14ac:dyDescent="0.25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hidden="1" x14ac:dyDescent="0.25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hidden="1" x14ac:dyDescent="0.25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hidden="1" x14ac:dyDescent="0.25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hidden="1" x14ac:dyDescent="0.25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hidden="1" x14ac:dyDescent="0.25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hidden="1" x14ac:dyDescent="0.25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hidden="1" x14ac:dyDescent="0.25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hidden="1" x14ac:dyDescent="0.25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hidden="1" x14ac:dyDescent="0.25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hidden="1" x14ac:dyDescent="0.25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hidden="1" x14ac:dyDescent="0.25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hidden="1" x14ac:dyDescent="0.25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hidden="1" x14ac:dyDescent="0.25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hidden="1" x14ac:dyDescent="0.25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hidden="1" x14ac:dyDescent="0.25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hidden="1" x14ac:dyDescent="0.25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hidden="1" x14ac:dyDescent="0.25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hidden="1" x14ac:dyDescent="0.25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hidden="1" x14ac:dyDescent="0.25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hidden="1" x14ac:dyDescent="0.25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hidden="1" x14ac:dyDescent="0.25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hidden="1" x14ac:dyDescent="0.25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hidden="1" x14ac:dyDescent="0.25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hidden="1" x14ac:dyDescent="0.25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hidden="1" x14ac:dyDescent="0.25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hidden="1" x14ac:dyDescent="0.25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hidden="1" x14ac:dyDescent="0.25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hidden="1" x14ac:dyDescent="0.25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hidden="1" x14ac:dyDescent="0.25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hidden="1" x14ac:dyDescent="0.25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hidden="1" x14ac:dyDescent="0.25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hidden="1" x14ac:dyDescent="0.25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hidden="1" x14ac:dyDescent="0.25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hidden="1" x14ac:dyDescent="0.25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hidden="1" x14ac:dyDescent="0.25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hidden="1" x14ac:dyDescent="0.25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hidden="1" x14ac:dyDescent="0.25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hidden="1" x14ac:dyDescent="0.25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hidden="1" x14ac:dyDescent="0.25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hidden="1" x14ac:dyDescent="0.25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hidden="1" x14ac:dyDescent="0.25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hidden="1" x14ac:dyDescent="0.25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hidden="1" x14ac:dyDescent="0.25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hidden="1" x14ac:dyDescent="0.25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hidden="1" x14ac:dyDescent="0.25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hidden="1" x14ac:dyDescent="0.25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hidden="1" x14ac:dyDescent="0.25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hidden="1" x14ac:dyDescent="0.25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hidden="1" x14ac:dyDescent="0.25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hidden="1" x14ac:dyDescent="0.25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hidden="1" x14ac:dyDescent="0.25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hidden="1" x14ac:dyDescent="0.25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hidden="1" x14ac:dyDescent="0.25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hidden="1" x14ac:dyDescent="0.25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hidden="1" x14ac:dyDescent="0.25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hidden="1" x14ac:dyDescent="0.25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hidden="1" x14ac:dyDescent="0.25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hidden="1" x14ac:dyDescent="0.25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hidden="1" x14ac:dyDescent="0.25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hidden="1" x14ac:dyDescent="0.25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hidden="1" x14ac:dyDescent="0.25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hidden="1" x14ac:dyDescent="0.25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hidden="1" x14ac:dyDescent="0.25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hidden="1" x14ac:dyDescent="0.25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hidden="1" x14ac:dyDescent="0.25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hidden="1" x14ac:dyDescent="0.25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hidden="1" x14ac:dyDescent="0.25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hidden="1" x14ac:dyDescent="0.25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hidden="1" x14ac:dyDescent="0.25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hidden="1" x14ac:dyDescent="0.25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hidden="1" x14ac:dyDescent="0.25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hidden="1" x14ac:dyDescent="0.25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hidden="1" x14ac:dyDescent="0.25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hidden="1" x14ac:dyDescent="0.25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hidden="1" x14ac:dyDescent="0.25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hidden="1" x14ac:dyDescent="0.25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hidden="1" x14ac:dyDescent="0.25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hidden="1" x14ac:dyDescent="0.25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hidden="1" x14ac:dyDescent="0.25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hidden="1" x14ac:dyDescent="0.25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hidden="1" x14ac:dyDescent="0.25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hidden="1" x14ac:dyDescent="0.25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hidden="1" x14ac:dyDescent="0.25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hidden="1" x14ac:dyDescent="0.25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hidden="1" x14ac:dyDescent="0.25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hidden="1" x14ac:dyDescent="0.25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hidden="1" x14ac:dyDescent="0.25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hidden="1" x14ac:dyDescent="0.25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hidden="1" x14ac:dyDescent="0.25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hidden="1" x14ac:dyDescent="0.25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hidden="1" x14ac:dyDescent="0.25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hidden="1" x14ac:dyDescent="0.25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hidden="1" x14ac:dyDescent="0.25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hidden="1" x14ac:dyDescent="0.25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hidden="1" x14ac:dyDescent="0.25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hidden="1" x14ac:dyDescent="0.25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hidden="1" x14ac:dyDescent="0.25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hidden="1" x14ac:dyDescent="0.25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hidden="1" x14ac:dyDescent="0.25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hidden="1" x14ac:dyDescent="0.25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hidden="1" x14ac:dyDescent="0.25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hidden="1" x14ac:dyDescent="0.25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hidden="1" x14ac:dyDescent="0.25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hidden="1" x14ac:dyDescent="0.25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hidden="1" x14ac:dyDescent="0.25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hidden="1" x14ac:dyDescent="0.25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hidden="1" x14ac:dyDescent="0.25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hidden="1" x14ac:dyDescent="0.25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hidden="1" x14ac:dyDescent="0.25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hidden="1" x14ac:dyDescent="0.25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hidden="1" x14ac:dyDescent="0.25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hidden="1" x14ac:dyDescent="0.25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hidden="1" x14ac:dyDescent="0.25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hidden="1" x14ac:dyDescent="0.25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hidden="1" x14ac:dyDescent="0.25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hidden="1" x14ac:dyDescent="0.25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hidden="1" x14ac:dyDescent="0.25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hidden="1" x14ac:dyDescent="0.25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hidden="1" x14ac:dyDescent="0.25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hidden="1" x14ac:dyDescent="0.25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hidden="1" x14ac:dyDescent="0.25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hidden="1" x14ac:dyDescent="0.25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hidden="1" x14ac:dyDescent="0.25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hidden="1" x14ac:dyDescent="0.25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hidden="1" x14ac:dyDescent="0.25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hidden="1" x14ac:dyDescent="0.25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hidden="1" x14ac:dyDescent="0.25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hidden="1" x14ac:dyDescent="0.25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hidden="1" x14ac:dyDescent="0.25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hidden="1" x14ac:dyDescent="0.25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hidden="1" x14ac:dyDescent="0.25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hidden="1" x14ac:dyDescent="0.25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hidden="1" x14ac:dyDescent="0.25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hidden="1" x14ac:dyDescent="0.25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hidden="1" x14ac:dyDescent="0.25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hidden="1" x14ac:dyDescent="0.25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hidden="1" x14ac:dyDescent="0.25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hidden="1" x14ac:dyDescent="0.25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hidden="1" x14ac:dyDescent="0.25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hidden="1" x14ac:dyDescent="0.25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hidden="1" x14ac:dyDescent="0.25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hidden="1" x14ac:dyDescent="0.25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hidden="1" x14ac:dyDescent="0.25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hidden="1" x14ac:dyDescent="0.25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hidden="1" x14ac:dyDescent="0.25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hidden="1" x14ac:dyDescent="0.25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hidden="1" x14ac:dyDescent="0.25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hidden="1" x14ac:dyDescent="0.25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hidden="1" x14ac:dyDescent="0.25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hidden="1" x14ac:dyDescent="0.25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hidden="1" x14ac:dyDescent="0.25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hidden="1" x14ac:dyDescent="0.25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hidden="1" x14ac:dyDescent="0.25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hidden="1" x14ac:dyDescent="0.25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hidden="1" x14ac:dyDescent="0.25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hidden="1" x14ac:dyDescent="0.25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hidden="1" x14ac:dyDescent="0.25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hidden="1" x14ac:dyDescent="0.25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hidden="1" x14ac:dyDescent="0.25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hidden="1" x14ac:dyDescent="0.25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hidden="1" x14ac:dyDescent="0.25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hidden="1" x14ac:dyDescent="0.25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hidden="1" x14ac:dyDescent="0.25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hidden="1" x14ac:dyDescent="0.25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hidden="1" x14ac:dyDescent="0.25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hidden="1" x14ac:dyDescent="0.25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hidden="1" x14ac:dyDescent="0.25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hidden="1" x14ac:dyDescent="0.25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hidden="1" x14ac:dyDescent="0.25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hidden="1" x14ac:dyDescent="0.25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hidden="1" x14ac:dyDescent="0.25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hidden="1" x14ac:dyDescent="0.25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hidden="1" x14ac:dyDescent="0.25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hidden="1" x14ac:dyDescent="0.25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hidden="1" x14ac:dyDescent="0.25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hidden="1" x14ac:dyDescent="0.25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hidden="1" x14ac:dyDescent="0.25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hidden="1" x14ac:dyDescent="0.25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hidden="1" x14ac:dyDescent="0.25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hidden="1" x14ac:dyDescent="0.25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hidden="1" x14ac:dyDescent="0.25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hidden="1" x14ac:dyDescent="0.25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hidden="1" x14ac:dyDescent="0.25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hidden="1" x14ac:dyDescent="0.25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hidden="1" x14ac:dyDescent="0.25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hidden="1" x14ac:dyDescent="0.25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hidden="1" x14ac:dyDescent="0.25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hidden="1" x14ac:dyDescent="0.25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hidden="1" x14ac:dyDescent="0.25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hidden="1" x14ac:dyDescent="0.25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hidden="1" x14ac:dyDescent="0.25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hidden="1" x14ac:dyDescent="0.25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hidden="1" x14ac:dyDescent="0.25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hidden="1" x14ac:dyDescent="0.25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hidden="1" x14ac:dyDescent="0.25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hidden="1" x14ac:dyDescent="0.25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hidden="1" x14ac:dyDescent="0.25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hidden="1" x14ac:dyDescent="0.25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hidden="1" x14ac:dyDescent="0.25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hidden="1" x14ac:dyDescent="0.25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hidden="1" x14ac:dyDescent="0.25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hidden="1" x14ac:dyDescent="0.25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hidden="1" x14ac:dyDescent="0.25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hidden="1" x14ac:dyDescent="0.25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hidden="1" x14ac:dyDescent="0.25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hidden="1" x14ac:dyDescent="0.25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hidden="1" x14ac:dyDescent="0.25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hidden="1" x14ac:dyDescent="0.25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hidden="1" x14ac:dyDescent="0.25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hidden="1" x14ac:dyDescent="0.25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hidden="1" x14ac:dyDescent="0.25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hidden="1" x14ac:dyDescent="0.25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hidden="1" x14ac:dyDescent="0.25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hidden="1" x14ac:dyDescent="0.25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hidden="1" x14ac:dyDescent="0.25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hidden="1" x14ac:dyDescent="0.25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hidden="1" x14ac:dyDescent="0.25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hidden="1" x14ac:dyDescent="0.25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hidden="1" x14ac:dyDescent="0.25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hidden="1" x14ac:dyDescent="0.25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hidden="1" x14ac:dyDescent="0.25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hidden="1" x14ac:dyDescent="0.25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hidden="1" x14ac:dyDescent="0.25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hidden="1" x14ac:dyDescent="0.25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hidden="1" x14ac:dyDescent="0.25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hidden="1" x14ac:dyDescent="0.25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hidden="1" x14ac:dyDescent="0.25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hidden="1" x14ac:dyDescent="0.25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hidden="1" x14ac:dyDescent="0.25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hidden="1" x14ac:dyDescent="0.25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hidden="1" x14ac:dyDescent="0.25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hidden="1" x14ac:dyDescent="0.25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hidden="1" x14ac:dyDescent="0.25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hidden="1" x14ac:dyDescent="0.25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hidden="1" x14ac:dyDescent="0.25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hidden="1" x14ac:dyDescent="0.25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hidden="1" x14ac:dyDescent="0.25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hidden="1" x14ac:dyDescent="0.25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hidden="1" x14ac:dyDescent="0.25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hidden="1" x14ac:dyDescent="0.25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hidden="1" x14ac:dyDescent="0.25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hidden="1" x14ac:dyDescent="0.25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hidden="1" x14ac:dyDescent="0.25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hidden="1" x14ac:dyDescent="0.25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hidden="1" x14ac:dyDescent="0.25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hidden="1" x14ac:dyDescent="0.25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hidden="1" x14ac:dyDescent="0.25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hidden="1" x14ac:dyDescent="0.25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25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25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25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25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25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25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25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25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25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25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25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25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25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25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25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25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25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25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25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25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25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25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25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25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25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25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25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25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25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25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25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25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25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25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25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25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25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25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25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25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25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25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25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25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25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25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25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25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25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25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25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25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25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25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25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25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25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25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25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25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25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25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25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25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25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25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25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25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25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25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25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25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25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25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25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25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25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25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25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25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25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25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25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25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25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25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25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25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25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25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25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25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25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25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25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25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25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25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25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25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25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25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25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25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25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25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25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25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25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25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25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25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25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25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25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25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25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25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25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25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25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25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25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25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25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25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25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25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25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25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25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25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25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25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25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25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25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25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25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25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25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25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25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25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25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25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25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25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25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25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25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25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25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25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25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25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25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25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25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25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25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25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25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25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25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25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25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25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25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25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25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25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25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25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25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25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25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25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25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25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25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25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25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25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25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25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25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25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25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25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25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25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25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25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25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25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25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25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25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25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25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25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25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25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25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25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25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25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25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25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25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25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25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25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25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25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25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25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25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25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25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25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25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25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25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25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25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25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25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25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25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25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25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25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25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25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25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25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25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25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25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25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25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25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25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25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25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25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25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25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25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25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25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25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25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25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25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25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25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25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25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25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25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25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25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25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25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25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25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25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25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25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25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25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25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25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25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25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25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25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25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25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25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25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25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25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25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25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25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25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25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25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25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25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25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25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25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25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25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25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25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25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25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25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25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25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25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25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25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25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25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25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25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25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25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25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25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25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25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25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25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25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25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25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25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25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25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25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25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25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25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25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25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25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25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25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25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25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25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25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25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25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25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25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25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25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25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25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25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25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25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25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25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25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25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25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25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25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25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25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25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25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25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25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25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25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25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25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25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25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25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25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25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25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25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25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25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25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25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25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25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25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25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25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25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25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25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25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25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25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25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25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25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25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25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25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25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25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25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25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25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25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25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25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25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25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25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25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25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25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25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25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25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25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25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25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25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25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25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25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25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25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25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25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25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25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25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25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25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25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25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25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25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25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25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25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25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25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25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25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25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25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25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25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25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25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25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25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25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25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25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25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25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25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25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25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25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25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25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25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25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25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25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25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25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25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25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25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25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25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25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25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25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25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25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25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25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25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25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25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25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25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25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25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25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25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25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25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25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25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25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25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25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25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25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25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25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25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25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25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25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25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25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25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25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25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25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25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25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25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25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25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25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25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25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25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25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25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25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25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25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25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25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25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25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25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25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25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25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110-4A38-4483-8F40-33A5CB592CAE}">
  <dimension ref="A1:AK36"/>
  <sheetViews>
    <sheetView zoomScale="78" zoomScaleNormal="78" workbookViewId="0">
      <selection activeCell="B14" sqref="B14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2.7109375" customWidth="1"/>
    <col min="4" max="4" width="17.85546875" customWidth="1"/>
    <col min="5" max="5" width="10.140625" bestFit="1" customWidth="1"/>
    <col min="6" max="6" width="3.42578125" customWidth="1"/>
    <col min="12" max="12" width="2.140625" customWidth="1"/>
    <col min="13" max="13" width="20.7109375" bestFit="1" customWidth="1"/>
    <col min="15" max="15" width="12.140625" customWidth="1"/>
    <col min="16" max="16" width="11.5703125" bestFit="1" customWidth="1"/>
    <col min="18" max="18" width="2.5703125" customWidth="1"/>
    <col min="20" max="20" width="12.85546875" bestFit="1" customWidth="1"/>
    <col min="21" max="21" width="12.85546875" customWidth="1"/>
    <col min="24" max="24" width="10.42578125" bestFit="1" customWidth="1"/>
    <col min="26" max="26" width="2.140625" customWidth="1"/>
    <col min="27" max="27" width="24" bestFit="1" customWidth="1"/>
    <col min="29" max="29" width="12.28515625" bestFit="1" customWidth="1"/>
    <col min="30" max="30" width="18.140625" bestFit="1" customWidth="1"/>
    <col min="33" max="33" width="3.42578125" customWidth="1"/>
    <col min="35" max="35" width="15.28515625" bestFit="1" customWidth="1"/>
    <col min="36" max="36" width="10.85546875" customWidth="1"/>
    <col min="37" max="37" width="16.85546875" customWidth="1"/>
  </cols>
  <sheetData>
    <row r="1" spans="1:37" x14ac:dyDescent="0.25">
      <c r="A1" s="16" t="s">
        <v>75</v>
      </c>
      <c r="B1" s="16"/>
      <c r="D1" s="15" t="s">
        <v>83</v>
      </c>
      <c r="E1" s="15"/>
      <c r="G1" s="15" t="s">
        <v>91</v>
      </c>
      <c r="H1" s="15"/>
      <c r="I1" s="15"/>
      <c r="J1" s="15"/>
      <c r="K1" s="11"/>
      <c r="M1" s="15" t="s">
        <v>105</v>
      </c>
      <c r="N1" s="15"/>
      <c r="O1" s="15"/>
      <c r="P1" s="15"/>
      <c r="Q1" s="15"/>
      <c r="S1" s="15" t="s">
        <v>109</v>
      </c>
      <c r="T1" s="15"/>
      <c r="U1" s="15"/>
      <c r="V1" s="15"/>
      <c r="W1" s="15"/>
      <c r="X1" s="15"/>
      <c r="Y1" s="15"/>
      <c r="AA1" s="15" t="s">
        <v>110</v>
      </c>
      <c r="AB1" s="15"/>
      <c r="AC1" s="15"/>
      <c r="AD1" s="15"/>
      <c r="AE1" s="15"/>
      <c r="AF1" s="15"/>
      <c r="AH1" s="15" t="s">
        <v>115</v>
      </c>
      <c r="AI1" s="15"/>
      <c r="AJ1" s="15"/>
      <c r="AK1" s="15"/>
    </row>
    <row r="2" spans="1:37" x14ac:dyDescent="0.25">
      <c r="A2" s="7" t="s">
        <v>80</v>
      </c>
      <c r="B2" s="8" t="s">
        <v>76</v>
      </c>
      <c r="D2" s="6" t="s">
        <v>84</v>
      </c>
      <c r="E2" s="2">
        <f>SUMIFS(Data[Revenue],Data[Region],Region,Data[Month],CurMonth,Data[Year],CurYear)</f>
        <v>61703.64999999998</v>
      </c>
      <c r="G2" s="12" t="s">
        <v>92</v>
      </c>
      <c r="H2" s="12" t="s">
        <v>49</v>
      </c>
      <c r="I2" s="13">
        <f>PrevYear</f>
        <v>2020</v>
      </c>
      <c r="J2" s="13">
        <f>CurYear</f>
        <v>2021</v>
      </c>
      <c r="K2" s="13" t="s">
        <v>76</v>
      </c>
      <c r="M2" s="14" t="s">
        <v>63</v>
      </c>
      <c r="N2" s="12" t="s">
        <v>46</v>
      </c>
      <c r="O2" s="13" t="s">
        <v>106</v>
      </c>
      <c r="P2" s="13" t="s">
        <v>107</v>
      </c>
      <c r="Q2" s="13" t="s">
        <v>108</v>
      </c>
      <c r="S2" s="13" t="s">
        <v>108</v>
      </c>
      <c r="T2" s="13" t="s">
        <v>63</v>
      </c>
      <c r="U2" s="13" t="s">
        <v>52</v>
      </c>
      <c r="V2" s="13" t="s">
        <v>46</v>
      </c>
      <c r="W2" s="13" t="s">
        <v>107</v>
      </c>
      <c r="X2" s="13" t="s">
        <v>76</v>
      </c>
      <c r="Y2" s="13" t="s">
        <v>76</v>
      </c>
      <c r="AA2" s="13" t="s">
        <v>111</v>
      </c>
      <c r="AB2" s="13" t="s">
        <v>46</v>
      </c>
      <c r="AC2" s="13" t="s">
        <v>106</v>
      </c>
      <c r="AD2" s="13" t="s">
        <v>112</v>
      </c>
      <c r="AE2" s="13" t="s">
        <v>113</v>
      </c>
      <c r="AF2" s="13" t="s">
        <v>114</v>
      </c>
      <c r="AH2" s="13" t="s">
        <v>108</v>
      </c>
      <c r="AI2" s="13" t="s">
        <v>111</v>
      </c>
      <c r="AJ2" s="13" t="s">
        <v>46</v>
      </c>
      <c r="AK2" s="13" t="s">
        <v>116</v>
      </c>
    </row>
    <row r="3" spans="1:37" x14ac:dyDescent="0.25">
      <c r="A3" t="s">
        <v>4</v>
      </c>
      <c r="B3" t="str">
        <f>Dashboard!C5</f>
        <v>Chicago</v>
      </c>
      <c r="D3" s="6" t="s">
        <v>85</v>
      </c>
      <c r="E3" s="2">
        <f>SUMIFS(Data[Revenue],Data[Region],Region,Data[Month],CurMonth,Data[Year],PrevYear)</f>
        <v>67569.269999999975</v>
      </c>
      <c r="G3">
        <v>1</v>
      </c>
      <c r="H3" t="s">
        <v>93</v>
      </c>
      <c r="I3" s="2">
        <f>SUMIFS(Data[[Revenue]:[Revenue]],Data[[Region]:[Region]],Region,Data[[Month]:[Month]],'Data Prep'!$G3,Data[[Year]:[Year]],'Data Prep'!I$2)</f>
        <v>63051.609999999993</v>
      </c>
      <c r="J3" s="2">
        <f>IF(G3&gt;CurMonth,NA(),SUMIFS(Data[[Revenue]:[Revenue]],Data[[Region]:[Region]],Region,Data[[Month]:[Month]],'Data Prep'!$G3,Data[[Year]:[Year]],'Data Prep'!J$2))</f>
        <v>81321.820000000022</v>
      </c>
      <c r="K3" s="2" t="e">
        <f>IF(G3=CurMonth,J3,NA())</f>
        <v>#N/A</v>
      </c>
      <c r="M3" t="s">
        <v>59</v>
      </c>
      <c r="N3" s="2">
        <f>SUMIFS(Data[Revenue],Data[Store Name],M3,Data[Month],CurMonth,Data[Year],CurYear)</f>
        <v>10103.540000000001</v>
      </c>
      <c r="O3" s="2">
        <f>SUMIFS(Data[Revenue],Data[Month],PrevMonth,Data[Year],PMYear,Data[Store Name],M3)</f>
        <v>7938.76</v>
      </c>
      <c r="P3" s="10">
        <f>(N3/O3)-1</f>
        <v>0.27268490293194403</v>
      </c>
      <c r="Q3">
        <f>_xlfn.RANK.AVG(N3,$N$3:$N$12,0)</f>
        <v>9</v>
      </c>
      <c r="S3">
        <v>1</v>
      </c>
      <c r="T3" t="str">
        <f>INDEX($M$3:$P$12,MATCH($S3,$Q$3:$Q$12,0),1)</f>
        <v>Times Square</v>
      </c>
      <c r="U3" t="str">
        <f>VLOOKUP(T3,Data[[Store Name]:[Region]],2,0)</f>
        <v>New York</v>
      </c>
      <c r="V3" s="2">
        <f>INDEX($M$3:$P$12,MATCH($N12,$N$3:$N$12,0),2)</f>
        <v>18237.980000000003</v>
      </c>
      <c r="W3" s="10">
        <f>INDEX($M$3:$P$12,
MATCH($T3,$M$3:$M$12,0),
4)</f>
        <v>0.14465033810308014</v>
      </c>
      <c r="X3" s="2">
        <f>IF($U3=Region,V3,0)</f>
        <v>0</v>
      </c>
      <c r="Y3" s="10">
        <f>IF($U3=Region,W3,0)</f>
        <v>0</v>
      </c>
      <c r="AA3" t="s">
        <v>13</v>
      </c>
      <c r="AB3" s="2">
        <f>SUMIFS(Data[Revenue],Data[Region],Region,Data[Product Name],$AA3,Data[Year],CurYear,Data[Month],CurMonth)</f>
        <v>2910.1800000000003</v>
      </c>
      <c r="AC3" s="2">
        <f>SUMIFS(Data[Revenue],Data[Region],Region,Data[Product Name],$AA3,Data[Year],PMYear,Data[Month],PrevMonth)</f>
        <v>3389.88</v>
      </c>
      <c r="AD3" s="2">
        <f>AB3-AC3</f>
        <v>-479.69999999999982</v>
      </c>
      <c r="AE3">
        <f>_xlfn.RANK.AVG(AD3,$AD$3:$AD$36,0)</f>
        <v>25</v>
      </c>
      <c r="AF3">
        <f>_xlfn.RANK.AVG(AD3,$AD$3:$AD$36,1)</f>
        <v>10</v>
      </c>
      <c r="AH3">
        <v>1</v>
      </c>
      <c r="AI3" t="str">
        <f>INDEX(AA3:AD36,MATCH(AH3,$AE$3:$AE$36,0),MATCH(AI$2,$AA$2:$AD$2,0))</f>
        <v>Nerf Gun</v>
      </c>
      <c r="AJ3" s="2">
        <f>INDEX($AA$3:$AD$36,MATCH(AH3,$AE$3:$AE$36,0),MATCH(AJ$2,$AA$2:$AD$2,0))</f>
        <v>4837.58</v>
      </c>
      <c r="AK3" s="2">
        <f>INDEX($AA$3:$AD$36,MATCH(AH3,$AE$3:$AE$36,0),MATCH(AK$2,$AA$2:$AD$2,0))</f>
        <v>2558.7200000000003</v>
      </c>
    </row>
    <row r="4" spans="1:37" x14ac:dyDescent="0.25">
      <c r="A4" t="s">
        <v>5</v>
      </c>
      <c r="D4" s="6" t="s">
        <v>86</v>
      </c>
      <c r="E4" s="2">
        <f>SUMIFS(Data[Revenue],Data[Region],Region,Data[Month],PrevMonth,Data[Year],PMYear)</f>
        <v>69798.989999999991</v>
      </c>
      <c r="G4">
        <v>2</v>
      </c>
      <c r="H4" t="s">
        <v>94</v>
      </c>
      <c r="I4" s="2">
        <f>SUMIFS(Data[[Revenue]:[Revenue]],Data[[Region]:[Region]],Region,Data[[Month]:[Month]],'Data Prep'!$G4,Data[[Year]:[Year]],'Data Prep'!I$2)</f>
        <v>65298.220000000023</v>
      </c>
      <c r="J4" s="2">
        <f>IF(G4&gt;CurMonth,NA(),SUMIFS(Data[[Revenue]:[Revenue]],Data[[Region]:[Region]],Region,Data[[Month]:[Month]],'Data Prep'!$G4,Data[[Year]:[Year]],'Data Prep'!J$2))</f>
        <v>87902.16</v>
      </c>
      <c r="K4" s="2" t="e">
        <f>IF(G4=CurMonth,J4,NA())</f>
        <v>#N/A</v>
      </c>
      <c r="M4" t="s">
        <v>54</v>
      </c>
      <c r="N4" s="2">
        <f>SUMIFS(Data[Revenue],Data[Store Name],M4,Data[Month],CurMonth,Data[Year],CurYear)</f>
        <v>7721.8800000000019</v>
      </c>
      <c r="O4" s="2">
        <f>SUMIFS(Data[Revenue],Data[Month],PrevMonth,Data[Year],PMYear,Data[Store Name],M4)</f>
        <v>10132.16</v>
      </c>
      <c r="P4" s="10">
        <f>(N4/O4)-1</f>
        <v>-0.23788412342481746</v>
      </c>
      <c r="Q4">
        <f t="shared" ref="Q4:Q12" si="0">_xlfn.RANK.AVG(N4,$N$3:$N$12,0)</f>
        <v>10</v>
      </c>
      <c r="S4">
        <v>2</v>
      </c>
      <c r="T4" t="str">
        <f t="shared" ref="T4:T12" si="1">INDEX($M$3:$P$12,MATCH($S4,$Q$3:$Q$12,0),1)</f>
        <v>Millenium</v>
      </c>
      <c r="U4" t="str">
        <f>VLOOKUP(T4,Data[[Store Name]:[Region]],2,0)</f>
        <v>Chicago</v>
      </c>
      <c r="V4" s="2">
        <f>INDEX($M$3:$P$12,MATCH($N11,$N$3:$N$12,0),2)</f>
        <v>18171.759999999995</v>
      </c>
      <c r="W4" s="10">
        <f t="shared" ref="W4:W12" si="2">INDEX($M$3:$P$12,
MATCH($T4,$M$3:$M$12,0),
4)</f>
        <v>0.18953874088693379</v>
      </c>
      <c r="X4" s="2">
        <f>IF($U4=Region,V4,0)</f>
        <v>18171.759999999995</v>
      </c>
      <c r="Y4" s="10">
        <f>IF($U4=Region,W4,0)</f>
        <v>0.18953874088693379</v>
      </c>
      <c r="AA4" t="s">
        <v>24</v>
      </c>
      <c r="AB4" s="2">
        <f>SUMIFS(Data[Revenue],Data[Region],Region,Data[Product Name],$AA4,Data[Year],CurYear,Data[Month],CurMonth)</f>
        <v>2623.9799999999996</v>
      </c>
      <c r="AC4" s="2">
        <f>SUMIFS(Data[Revenue],Data[Region],Region,Data[Product Name],$AA4,Data[Year],PMYear,Data[Month],PrevMonth)</f>
        <v>2896.7700000000004</v>
      </c>
      <c r="AD4" s="2">
        <f t="shared" ref="AD4:AD36" si="3">AB4-AC4</f>
        <v>-272.79000000000087</v>
      </c>
      <c r="AE4">
        <f t="shared" ref="AE4:AE36" si="4">_xlfn.RANK.AVG(AD4,$AD$3:$AD$36,0)</f>
        <v>22</v>
      </c>
      <c r="AF4">
        <f t="shared" ref="AF4:AF36" si="5">_xlfn.RANK.AVG(AD4,$AD$3:$AD$36,1)</f>
        <v>13</v>
      </c>
      <c r="AH4">
        <v>2</v>
      </c>
      <c r="AI4" t="str">
        <f>INDEX(AA3:AD36,MATCH(AH4,$AE$3:$AE$36,0),MATCH(AI$2,$AA$2:$AD$2,0))</f>
        <v>Rubik's Cube</v>
      </c>
      <c r="AJ4" s="2">
        <f>INDEX($AA$3:$AD$36,MATCH(AH4,$AE$3:$AE$36,0),MATCH(AJ$2,$AA$2:$AD$2,0))</f>
        <v>3378.3099999999995</v>
      </c>
      <c r="AK4" s="2">
        <f t="shared" ref="AK4:AK8" si="6">INDEX($AA$3:$AD$36,MATCH(AH4,$AE$3:$AE$36,0),MATCH(AK$2,$AA$2:$AD$2,0))</f>
        <v>1079.4599999999996</v>
      </c>
    </row>
    <row r="5" spans="1:37" x14ac:dyDescent="0.25">
      <c r="A5" t="s">
        <v>48</v>
      </c>
      <c r="D5" s="6" t="s">
        <v>88</v>
      </c>
      <c r="E5" s="18">
        <f>$E$2/E3-1</f>
        <v>-8.6808988760719186E-2</v>
      </c>
      <c r="G5">
        <v>3</v>
      </c>
      <c r="H5" t="s">
        <v>95</v>
      </c>
      <c r="I5" s="2">
        <f>SUMIFS(Data[[Revenue]:[Revenue]],Data[[Region]:[Region]],Region,Data[[Month]:[Month]],'Data Prep'!$G5,Data[[Year]:[Year]],'Data Prep'!I$2)</f>
        <v>64161.95</v>
      </c>
      <c r="J5" s="2">
        <f>IF(G5&gt;CurMonth,NA(),SUMIFS(Data[[Revenue]:[Revenue]],Data[[Region]:[Region]],Region,Data[[Month]:[Month]],'Data Prep'!$G5,Data[[Year]:[Year]],'Data Prep'!J$2))</f>
        <v>105385.7199999999</v>
      </c>
      <c r="K5" s="2" t="e">
        <f>IF(G5=CurMonth,J5,NA())</f>
        <v>#N/A</v>
      </c>
      <c r="M5" t="s">
        <v>56</v>
      </c>
      <c r="N5" s="2">
        <f>SUMIFS(Data[Revenue],Data[Store Name],M5,Data[Month],CurMonth,Data[Year],CurYear)</f>
        <v>15765.830000000002</v>
      </c>
      <c r="O5" s="2">
        <f>SUMIFS(Data[Revenue],Data[Month],PrevMonth,Data[Year],PMYear,Data[Store Name],M5)</f>
        <v>11411.519999999999</v>
      </c>
      <c r="P5" s="10">
        <f>(N5/O5)-1</f>
        <v>0.38157142957292312</v>
      </c>
      <c r="Q5">
        <f t="shared" si="0"/>
        <v>7</v>
      </c>
      <c r="S5">
        <v>3</v>
      </c>
      <c r="T5" t="str">
        <f t="shared" si="1"/>
        <v>O'Hare</v>
      </c>
      <c r="U5" t="str">
        <f>VLOOKUP(T5,Data[[Store Name]:[Region]],2,0)</f>
        <v>Chicago</v>
      </c>
      <c r="V5" s="2">
        <f>INDEX($M$3:$P$12,MATCH($N10,$N$3:$N$12,0),2)</f>
        <v>16255.230000000001</v>
      </c>
      <c r="W5" s="10">
        <f t="shared" si="2"/>
        <v>-0.3315731431233282</v>
      </c>
      <c r="X5" s="2">
        <f>IF($U5=Region,V5,0)</f>
        <v>16255.230000000001</v>
      </c>
      <c r="Y5" s="10">
        <f>IF($U5=Region,W5,0)</f>
        <v>-0.3315731431233282</v>
      </c>
      <c r="AA5" t="s">
        <v>34</v>
      </c>
      <c r="AB5" s="2">
        <f>SUMIFS(Data[Revenue],Data[Region],Region,Data[Product Name],$AA5,Data[Year],CurYear,Data[Month],CurMonth)</f>
        <v>2581.5300000000002</v>
      </c>
      <c r="AC5" s="2">
        <f>SUMIFS(Data[Revenue],Data[Region],Region,Data[Product Name],$AA5,Data[Year],PMYear,Data[Month],PrevMonth)</f>
        <v>1835.4000000000003</v>
      </c>
      <c r="AD5" s="2">
        <f t="shared" si="3"/>
        <v>746.12999999999988</v>
      </c>
      <c r="AE5">
        <f t="shared" si="4"/>
        <v>3</v>
      </c>
      <c r="AF5">
        <f t="shared" si="5"/>
        <v>32</v>
      </c>
      <c r="AH5">
        <v>3</v>
      </c>
      <c r="AI5" t="str">
        <f>INDEX(AA3:AD36,MATCH(AH5,$AE$3:$AE$36,0),MATCH(AI$2,$AA$2:$AD$2,0))</f>
        <v>Barrel O' Slime</v>
      </c>
      <c r="AJ5" s="2">
        <f>INDEX($AA$3:$AD$36,MATCH(AH5,$AE$3:$AE$36,0),MATCH(AJ$2,$AA$2:$AD$2,0))</f>
        <v>2581.5300000000002</v>
      </c>
      <c r="AK5" s="2">
        <f t="shared" si="6"/>
        <v>746.12999999999988</v>
      </c>
    </row>
    <row r="6" spans="1:37" x14ac:dyDescent="0.25">
      <c r="D6" s="6" t="s">
        <v>89</v>
      </c>
      <c r="E6" s="18">
        <f>$E$2/E4-1</f>
        <v>-0.11598076132620272</v>
      </c>
      <c r="G6">
        <v>4</v>
      </c>
      <c r="H6" t="s">
        <v>96</v>
      </c>
      <c r="I6" s="2">
        <f>SUMIFS(Data[[Revenue]:[Revenue]],Data[[Region]:[Region]],Region,Data[[Month]:[Month]],'Data Prep'!$G6,Data[[Year]:[Year]],'Data Prep'!I$2)</f>
        <v>80619.25999999998</v>
      </c>
      <c r="J6" s="2">
        <f>IF(G6&gt;CurMonth,NA(),SUMIFS(Data[[Revenue]:[Revenue]],Data[[Region]:[Region]],Region,Data[[Month]:[Month]],'Data Prep'!$G6,Data[[Year]:[Year]],'Data Prep'!J$2))</f>
        <v>99650.11000000003</v>
      </c>
      <c r="K6" s="2" t="e">
        <f>IF(G6=CurMonth,J6,NA())</f>
        <v>#N/A</v>
      </c>
      <c r="M6" t="s">
        <v>60</v>
      </c>
      <c r="N6" s="2">
        <f>SUMIFS(Data[Revenue],Data[Store Name],M6,Data[Month],CurMonth,Data[Year],CurYear)</f>
        <v>13879.13</v>
      </c>
      <c r="O6" s="2">
        <f>SUMIFS(Data[Revenue],Data[Month],PrevMonth,Data[Year],PMYear,Data[Store Name],M6)</f>
        <v>13127.479999999996</v>
      </c>
      <c r="P6" s="10">
        <f>(N6/O6)-1</f>
        <v>5.7257752439920262E-2</v>
      </c>
      <c r="Q6">
        <f t="shared" si="0"/>
        <v>8</v>
      </c>
      <c r="S6">
        <v>4</v>
      </c>
      <c r="T6" t="str">
        <f t="shared" si="1"/>
        <v>LAX</v>
      </c>
      <c r="U6" t="str">
        <f>VLOOKUP(T6,Data[[Store Name]:[Region]],2,0)</f>
        <v>Los Angeles</v>
      </c>
      <c r="V6" s="2">
        <f>INDEX($M$3:$P$12,MATCH($N9,$N$3:$N$12,0),2)</f>
        <v>20484.010000000002</v>
      </c>
      <c r="W6" s="10">
        <f t="shared" si="2"/>
        <v>-0.17099256839675403</v>
      </c>
      <c r="X6" s="2">
        <f>IF($U6=Region,V6,0)</f>
        <v>0</v>
      </c>
      <c r="Y6" s="10">
        <f>IF($U6=Region,W6,0)</f>
        <v>0</v>
      </c>
      <c r="AA6" t="s">
        <v>25</v>
      </c>
      <c r="AB6" s="2">
        <f>SUMIFS(Data[Revenue],Data[Region],Region,Data[Product Name],$AA6,Data[Year],CurYear,Data[Month],CurMonth)</f>
        <v>2510.4300000000003</v>
      </c>
      <c r="AC6" s="2">
        <f>SUMIFS(Data[Revenue],Data[Region],Region,Data[Product Name],$AA6,Data[Year],PMYear,Data[Month],PrevMonth)</f>
        <v>1870.8300000000002</v>
      </c>
      <c r="AD6" s="2">
        <f t="shared" si="3"/>
        <v>639.60000000000014</v>
      </c>
      <c r="AE6">
        <f t="shared" si="4"/>
        <v>4</v>
      </c>
      <c r="AF6">
        <f t="shared" si="5"/>
        <v>31</v>
      </c>
      <c r="AH6">
        <v>4</v>
      </c>
      <c r="AI6" t="str">
        <f t="shared" ref="AI4:AI7" si="7">INDEX(AA6:AD39,MATCH(AH6,$AE$3:$AE$36,0),MATCH(AI$2,$AA$2:$AD$2,0))</f>
        <v>Dinosaur Figures</v>
      </c>
      <c r="AJ6" s="2">
        <f>INDEX($AA$3:$AD$36,MATCH(AH6,$AE$3:$AE$36,0),MATCH(AJ$2,$AA$2:$AD$2,0))</f>
        <v>2510.4300000000003</v>
      </c>
      <c r="AK6" s="2">
        <f t="shared" si="6"/>
        <v>639.60000000000014</v>
      </c>
    </row>
    <row r="7" spans="1:37" x14ac:dyDescent="0.25">
      <c r="A7" s="16" t="s">
        <v>77</v>
      </c>
      <c r="B7" s="16"/>
      <c r="G7">
        <v>5</v>
      </c>
      <c r="H7" t="s">
        <v>97</v>
      </c>
      <c r="I7" s="2">
        <f>SUMIFS(Data[[Revenue]:[Revenue]],Data[[Region]:[Region]],Region,Data[[Month]:[Month]],'Data Prep'!$G7,Data[[Year]:[Year]],'Data Prep'!I$2)</f>
        <v>79560.950000000026</v>
      </c>
      <c r="J7" s="2">
        <f>IF(G7&gt;CurMonth,NA(),SUMIFS(Data[[Revenue]:[Revenue]],Data[[Region]:[Region]],Region,Data[[Month]:[Month]],'Data Prep'!$G7,Data[[Year]:[Year]],'Data Prep'!J$2))</f>
        <v>93467.969999999972</v>
      </c>
      <c r="K7" s="2" t="e">
        <f>IF(G7=CurMonth,J7,NA())</f>
        <v>#N/A</v>
      </c>
      <c r="M7" t="s">
        <v>55</v>
      </c>
      <c r="N7" s="2">
        <f>SUMIFS(Data[Revenue],Data[Store Name],M7,Data[Month],CurMonth,Data[Year],CurYear)</f>
        <v>18238.46</v>
      </c>
      <c r="O7" s="2">
        <f>SUMIFS(Data[Revenue],Data[Month],PrevMonth,Data[Year],PMYear,Data[Store Name],M7)</f>
        <v>15332.379999999996</v>
      </c>
      <c r="P7" s="10">
        <f>(N7/O7)-1</f>
        <v>0.18953874088693379</v>
      </c>
      <c r="Q7">
        <f t="shared" si="0"/>
        <v>2</v>
      </c>
      <c r="S7">
        <v>5</v>
      </c>
      <c r="T7" t="str">
        <f t="shared" si="1"/>
        <v>Lincoln Park</v>
      </c>
      <c r="U7" t="str">
        <f>VLOOKUP(T7,Data[[Store Name]:[Region]],2,0)</f>
        <v>Chicago</v>
      </c>
      <c r="V7" s="2">
        <f>INDEX($M$3:$P$12,MATCH($N8,$N$3:$N$12,0),2)</f>
        <v>17505.330000000002</v>
      </c>
      <c r="W7" s="10">
        <f t="shared" si="2"/>
        <v>2.6734476982343214E-2</v>
      </c>
      <c r="X7" s="2">
        <f>IF($U7=Region,V7,0)</f>
        <v>17505.330000000002</v>
      </c>
      <c r="Y7" s="10">
        <f>IF($U7=Region,W7,0)</f>
        <v>2.6734476982343214E-2</v>
      </c>
      <c r="AA7" t="s">
        <v>8</v>
      </c>
      <c r="AB7" s="2">
        <f>SUMIFS(Data[Revenue],Data[Region],Region,Data[Product Name],$AA7,Data[Year],CurYear,Data[Month],CurMonth)</f>
        <v>1523.8199999999997</v>
      </c>
      <c r="AC7" s="2">
        <f>SUMIFS(Data[Revenue],Data[Region],Region,Data[Product Name],$AA7,Data[Year],PMYear,Data[Month],PrevMonth)</f>
        <v>2956.77</v>
      </c>
      <c r="AD7" s="2">
        <f t="shared" si="3"/>
        <v>-1432.9500000000003</v>
      </c>
      <c r="AE7">
        <f t="shared" si="4"/>
        <v>32</v>
      </c>
      <c r="AF7">
        <f t="shared" si="5"/>
        <v>3</v>
      </c>
      <c r="AH7">
        <v>5</v>
      </c>
      <c r="AI7" t="str">
        <f>INDEX(AA3:AD36,MATCH(AH7,$AE$3:$AE$36,0),MATCH(AI$2,$AA$2:$AD$2,0))</f>
        <v>Kids Makeup Kit</v>
      </c>
      <c r="AJ7" s="2">
        <f>INDEX($AA$3:$AD$36,MATCH(AH7,$AE$3:$AE$36,0),MATCH(AJ$2,$AA$2:$AD$2,0))</f>
        <v>2658.67</v>
      </c>
      <c r="AK7" s="2">
        <f t="shared" si="6"/>
        <v>299.85000000000036</v>
      </c>
    </row>
    <row r="8" spans="1:37" x14ac:dyDescent="0.25">
      <c r="A8" s="6" t="s">
        <v>78</v>
      </c>
      <c r="B8">
        <f>MAX(Data[Year])</f>
        <v>2021</v>
      </c>
      <c r="G8">
        <v>6</v>
      </c>
      <c r="H8" t="s">
        <v>98</v>
      </c>
      <c r="I8" s="2">
        <f>SUMIFS(Data[[Revenue]:[Revenue]],Data[[Region]:[Region]],Region,Data[[Month]:[Month]],'Data Prep'!$G8,Data[[Year]:[Year]],'Data Prep'!I$2)</f>
        <v>85430.399999999965</v>
      </c>
      <c r="J8" s="2">
        <f>IF(G8&gt;CurMonth,NA(),SUMIFS(Data[[Revenue]:[Revenue]],Data[[Region]:[Region]],Region,Data[[Month]:[Month]],'Data Prep'!$G8,Data[[Year]:[Year]],'Data Prep'!J$2))</f>
        <v>91637.330000000016</v>
      </c>
      <c r="K8" s="2" t="e">
        <f>IF(G8=CurMonth,J8,NA())</f>
        <v>#N/A</v>
      </c>
      <c r="M8" t="s">
        <v>53</v>
      </c>
      <c r="N8" s="2">
        <f>SUMIFS(Data[Revenue],Data[Store Name],M8,Data[Month],CurMonth,Data[Year],CurYear)</f>
        <v>17505.330000000002</v>
      </c>
      <c r="O8" s="2">
        <f>SUMIFS(Data[Revenue],Data[Month],PrevMonth,Data[Year],PMYear,Data[Store Name],M8)</f>
        <v>17049.52</v>
      </c>
      <c r="P8" s="10">
        <f>(N8/O8)-1</f>
        <v>2.6734476982343214E-2</v>
      </c>
      <c r="Q8">
        <f t="shared" si="0"/>
        <v>5</v>
      </c>
      <c r="S8">
        <v>6</v>
      </c>
      <c r="T8" t="str">
        <f t="shared" si="1"/>
        <v>Fifth Avenue</v>
      </c>
      <c r="U8" t="str">
        <f>VLOOKUP(T8,Data[[Store Name]:[Region]],2,0)</f>
        <v>New York</v>
      </c>
      <c r="V8" s="2">
        <f>INDEX($M$3:$P$12,MATCH($N7,$N$3:$N$12,0),2)</f>
        <v>18238.46</v>
      </c>
      <c r="W8" s="10">
        <f t="shared" si="2"/>
        <v>-0.13607835613264074</v>
      </c>
      <c r="X8" s="2">
        <f>IF($U8=Region,V8,0)</f>
        <v>0</v>
      </c>
      <c r="Y8" s="10">
        <f>IF($U8=Region,W8,0)</f>
        <v>0</v>
      </c>
      <c r="AA8" t="s">
        <v>17</v>
      </c>
      <c r="AB8" s="2">
        <f>SUMIFS(Data[Revenue],Data[Region],Region,Data[Product Name],$AA8,Data[Year],CurYear,Data[Month],CurMonth)</f>
        <v>3967.39</v>
      </c>
      <c r="AC8" s="2">
        <f>SUMIFS(Data[Revenue],Data[Region],Region,Data[Product Name],$AA8,Data[Year],PMYear,Data[Month],PrevMonth)</f>
        <v>3879.4700000000003</v>
      </c>
      <c r="AD8" s="2">
        <f t="shared" si="3"/>
        <v>87.919999999999618</v>
      </c>
      <c r="AE8">
        <f t="shared" si="4"/>
        <v>9</v>
      </c>
      <c r="AF8">
        <f t="shared" si="5"/>
        <v>26</v>
      </c>
      <c r="AH8">
        <v>6</v>
      </c>
      <c r="AI8" t="str">
        <f>INDEX(AA3:AD36,MATCH(AH8,$AE$3:$AE$36,0),MATCH(AI$2,$AA$2:$AE$2,0))</f>
        <v>Classic Dominoes</v>
      </c>
      <c r="AJ8" s="2">
        <f>INDEX($AA$3:$AD$36,MATCH(AH8,$AE$3:$AE$36,0),MATCH(AJ$2,$AA$2:$AD$2,0))</f>
        <v>249.75</v>
      </c>
      <c r="AK8" s="2">
        <f t="shared" si="6"/>
        <v>249.75</v>
      </c>
    </row>
    <row r="9" spans="1:37" x14ac:dyDescent="0.25">
      <c r="A9" s="6" t="s">
        <v>79</v>
      </c>
      <c r="B9">
        <f>_xlfn.MAXIFS(Data[Month],Data[Year],'Data Prep'!$B$8)</f>
        <v>9</v>
      </c>
      <c r="G9">
        <v>7</v>
      </c>
      <c r="H9" t="s">
        <v>99</v>
      </c>
      <c r="I9" s="2">
        <f>SUMIFS(Data[[Revenue]:[Revenue]],Data[[Region]:[Region]],Region,Data[[Month]:[Month]],'Data Prep'!$G9,Data[[Year]:[Year]],'Data Prep'!I$2)</f>
        <v>70835.710000000006</v>
      </c>
      <c r="J9" s="2">
        <f>IF(G9&gt;CurMonth,NA(),SUMIFS(Data[[Revenue]:[Revenue]],Data[[Region]:[Region]],Region,Data[[Month]:[Month]],'Data Prep'!$G9,Data[[Year]:[Year]],'Data Prep'!J$2))</f>
        <v>94953.469999999958</v>
      </c>
      <c r="K9" s="2" t="e">
        <f>IF(G9=CurMonth,J9,NA())</f>
        <v>#N/A</v>
      </c>
      <c r="M9" t="s">
        <v>62</v>
      </c>
      <c r="N9" s="2">
        <f>SUMIFS(Data[Revenue],Data[Store Name],M9,Data[Month],CurMonth,Data[Year],CurYear)</f>
        <v>20484.010000000002</v>
      </c>
      <c r="O9" s="2">
        <f>SUMIFS(Data[Revenue],Data[Month],PrevMonth,Data[Year],PMYear,Data[Store Name],M9)</f>
        <v>17895.43</v>
      </c>
      <c r="P9" s="10">
        <f>(N9/O9)-1</f>
        <v>0.14465033810308014</v>
      </c>
      <c r="Q9">
        <f t="shared" si="0"/>
        <v>1</v>
      </c>
      <c r="S9">
        <v>7</v>
      </c>
      <c r="T9" t="str">
        <f t="shared" si="1"/>
        <v>Beverly Hills</v>
      </c>
      <c r="U9" t="str">
        <f>VLOOKUP(T9,Data[[Store Name]:[Region]],2,0)</f>
        <v>Los Angeles</v>
      </c>
      <c r="V9" s="2">
        <f>INDEX($M$3:$P$12,MATCH($N6,$N$3:$N$12,0),2)</f>
        <v>13879.13</v>
      </c>
      <c r="W9" s="10">
        <f t="shared" si="2"/>
        <v>0.38157142957292312</v>
      </c>
      <c r="X9" s="2">
        <f>IF($U9=Region,V9,0)</f>
        <v>0</v>
      </c>
      <c r="Y9" s="10">
        <f>IF($U9=Region,W9,0)</f>
        <v>0</v>
      </c>
      <c r="AA9" t="s">
        <v>28</v>
      </c>
      <c r="AB9" s="2">
        <f>SUMIFS(Data[Revenue],Data[Region],Region,Data[Product Name],$AA9,Data[Year],CurYear,Data[Month],CurMonth)</f>
        <v>1603.93</v>
      </c>
      <c r="AC9" s="2">
        <f>SUMIFS(Data[Revenue],Data[Region],Region,Data[Product Name],$AA9,Data[Year],PMYear,Data[Month],PrevMonth)</f>
        <v>2383.41</v>
      </c>
      <c r="AD9" s="2">
        <f t="shared" si="3"/>
        <v>-779.47999999999979</v>
      </c>
      <c r="AE9">
        <f t="shared" si="4"/>
        <v>28</v>
      </c>
      <c r="AF9">
        <f t="shared" si="5"/>
        <v>7</v>
      </c>
    </row>
    <row r="10" spans="1:37" x14ac:dyDescent="0.25">
      <c r="A10" s="6" t="s">
        <v>81</v>
      </c>
      <c r="B10">
        <f>CurYear-1</f>
        <v>2020</v>
      </c>
      <c r="G10">
        <v>8</v>
      </c>
      <c r="H10" t="s">
        <v>100</v>
      </c>
      <c r="I10" s="2">
        <f>SUMIFS(Data[[Revenue]:[Revenue]],Data[[Region]:[Region]],Region,Data[[Month]:[Month]],'Data Prep'!$G10,Data[[Year]:[Year]],'Data Prep'!I$2)</f>
        <v>55171.65</v>
      </c>
      <c r="J10" s="2">
        <f>IF(G10&gt;CurMonth,NA(),SUMIFS(Data[[Revenue]:[Revenue]],Data[[Region]:[Region]],Region,Data[[Month]:[Month]],'Data Prep'!$G10,Data[[Year]:[Year]],'Data Prep'!J$2))</f>
        <v>69798.989999999991</v>
      </c>
      <c r="K10" s="2" t="e">
        <f>IF(G10=CurMonth,J10,NA())</f>
        <v>#N/A</v>
      </c>
      <c r="M10" t="s">
        <v>58</v>
      </c>
      <c r="N10" s="2">
        <f>SUMIFS(Data[Revenue],Data[Store Name],M10,Data[Month],CurMonth,Data[Year],CurYear)</f>
        <v>16255.230000000001</v>
      </c>
      <c r="O10" s="2">
        <f>SUMIFS(Data[Revenue],Data[Month],PrevMonth,Data[Year],PMYear,Data[Store Name],M10)</f>
        <v>18815.63</v>
      </c>
      <c r="P10" s="10">
        <f>(N10/O10)-1</f>
        <v>-0.13607835613264074</v>
      </c>
      <c r="Q10">
        <f t="shared" si="0"/>
        <v>6</v>
      </c>
      <c r="S10">
        <v>8</v>
      </c>
      <c r="T10" t="str">
        <f t="shared" si="1"/>
        <v>JFK</v>
      </c>
      <c r="U10" t="str">
        <f>VLOOKUP(T10,Data[[Store Name]:[Region]],2,0)</f>
        <v>New York</v>
      </c>
      <c r="V10" s="2">
        <f>INDEX($M$3:$P$12,MATCH($N5,$N$3:$N$12,0),2)</f>
        <v>15765.830000000002</v>
      </c>
      <c r="W10" s="10">
        <f t="shared" si="2"/>
        <v>5.7257752439920262E-2</v>
      </c>
      <c r="X10" s="2">
        <f>IF($U10=Region,V10,0)</f>
        <v>0</v>
      </c>
      <c r="Y10" s="10">
        <f>IF($U10=Region,W10,0)</f>
        <v>0</v>
      </c>
      <c r="AA10" t="s">
        <v>43</v>
      </c>
      <c r="AB10" s="2">
        <f>SUMIFS(Data[Revenue],Data[Region],Region,Data[Product Name],$AA10,Data[Year],CurYear,Data[Month],CurMonth)</f>
        <v>482.77</v>
      </c>
      <c r="AC10" s="2">
        <f>SUMIFS(Data[Revenue],Data[Region],Region,Data[Product Name],$AA10,Data[Year],PMYear,Data[Month],PrevMonth)</f>
        <v>1721.1799999999998</v>
      </c>
      <c r="AD10" s="2">
        <f t="shared" si="3"/>
        <v>-1238.4099999999999</v>
      </c>
      <c r="AE10">
        <f t="shared" si="4"/>
        <v>31</v>
      </c>
      <c r="AF10">
        <f t="shared" si="5"/>
        <v>4</v>
      </c>
      <c r="AH10" s="15" t="s">
        <v>117</v>
      </c>
      <c r="AI10" s="15"/>
      <c r="AJ10" s="15"/>
      <c r="AK10" s="15"/>
    </row>
    <row r="11" spans="1:37" x14ac:dyDescent="0.25">
      <c r="A11" s="6" t="s">
        <v>82</v>
      </c>
      <c r="B11">
        <f>IF(CurMonth=1,12,CurMonth-1)</f>
        <v>8</v>
      </c>
      <c r="G11">
        <v>9</v>
      </c>
      <c r="H11" t="s">
        <v>101</v>
      </c>
      <c r="I11" s="2">
        <f>SUMIFS(Data[[Revenue]:[Revenue]],Data[[Region]:[Region]],Region,Data[[Month]:[Month]],'Data Prep'!$G11,Data[[Year]:[Year]],'Data Prep'!I$2)</f>
        <v>67569.269999999975</v>
      </c>
      <c r="J11" s="2">
        <f>IF(G11&gt;CurMonth,NA(),SUMIFS(Data[[Revenue]:[Revenue]],Data[[Region]:[Region]],Region,Data[[Month]:[Month]],'Data Prep'!$G11,Data[[Year]:[Year]],'Data Prep'!J$2))</f>
        <v>61703.64999999998</v>
      </c>
      <c r="K11" s="2">
        <f>IF(G11=CurMonth,J11,NA())</f>
        <v>61703.64999999998</v>
      </c>
      <c r="M11" t="s">
        <v>61</v>
      </c>
      <c r="N11" s="2">
        <f>SUMIFS(Data[Revenue],Data[Store Name],M11,Data[Month],CurMonth,Data[Year],CurYear)</f>
        <v>18171.759999999995</v>
      </c>
      <c r="O11" s="2">
        <f>SUMIFS(Data[Revenue],Data[Month],PrevMonth,Data[Year],PMYear,Data[Store Name],M11)</f>
        <v>21919.900000000005</v>
      </c>
      <c r="P11" s="10">
        <f>(N11/O11)-1</f>
        <v>-0.17099256839675403</v>
      </c>
      <c r="Q11">
        <f t="shared" si="0"/>
        <v>4</v>
      </c>
      <c r="S11">
        <v>9</v>
      </c>
      <c r="T11" t="str">
        <f t="shared" si="1"/>
        <v>Hollywood</v>
      </c>
      <c r="U11" t="str">
        <f>VLOOKUP(T11,Data[[Store Name]:[Region]],2,0)</f>
        <v>Los Angeles</v>
      </c>
      <c r="V11" s="2">
        <f>INDEX($M$3:$P$12,MATCH($N4,$N$3:$N$12,0),2)</f>
        <v>7721.8800000000019</v>
      </c>
      <c r="W11" s="10">
        <f t="shared" si="2"/>
        <v>0.27268490293194403</v>
      </c>
      <c r="X11" s="2">
        <f>IF($U11=Region,V11,0)</f>
        <v>0</v>
      </c>
      <c r="Y11" s="10">
        <f>IF($U11=Region,W11,0)</f>
        <v>0</v>
      </c>
      <c r="AA11" t="s">
        <v>68</v>
      </c>
      <c r="AB11" s="2">
        <f>SUMIFS(Data[Revenue],Data[Region],Region,Data[Product Name],$AA11,Data[Year],CurYear,Data[Month],CurMonth)</f>
        <v>0</v>
      </c>
      <c r="AC11" s="2">
        <f>SUMIFS(Data[Revenue],Data[Region],Region,Data[Product Name],$AA11,Data[Year],PMYear,Data[Month],PrevMonth)</f>
        <v>0</v>
      </c>
      <c r="AD11" s="2">
        <f t="shared" si="3"/>
        <v>0</v>
      </c>
      <c r="AE11">
        <f t="shared" si="4"/>
        <v>15.5</v>
      </c>
      <c r="AF11">
        <f t="shared" si="5"/>
        <v>19.5</v>
      </c>
      <c r="AH11" s="13" t="s">
        <v>108</v>
      </c>
      <c r="AI11" s="13" t="s">
        <v>111</v>
      </c>
      <c r="AJ11" s="13" t="s">
        <v>46</v>
      </c>
      <c r="AK11" s="13" t="s">
        <v>116</v>
      </c>
    </row>
    <row r="12" spans="1:37" x14ac:dyDescent="0.25">
      <c r="A12" s="6" t="s">
        <v>87</v>
      </c>
      <c r="B12">
        <f>IF(CurMonth=1,PrevYear,CurYear)</f>
        <v>2021</v>
      </c>
      <c r="F12" t="s">
        <v>90</v>
      </c>
      <c r="G12">
        <v>10</v>
      </c>
      <c r="H12" t="s">
        <v>102</v>
      </c>
      <c r="I12" s="2">
        <f>SUMIFS(Data[[Revenue]:[Revenue]],Data[[Region]:[Region]],Region,Data[[Month]:[Month]],'Data Prep'!$G12,Data[[Year]:[Year]],'Data Prep'!I$2)</f>
        <v>64882.340000000018</v>
      </c>
      <c r="J12" s="2" t="e">
        <f>IF(G12&gt;CurMonth,NA(),SUMIFS(Data[[Revenue]:[Revenue]],Data[[Region]:[Region]],Region,Data[[Month]:[Month]],'Data Prep'!$G12,Data[[Year]:[Year]],'Data Prep'!J$2))</f>
        <v>#N/A</v>
      </c>
      <c r="K12" s="2" t="e">
        <f>IF(G12=CurMonth,J12,NA())</f>
        <v>#N/A</v>
      </c>
      <c r="M12" t="s">
        <v>57</v>
      </c>
      <c r="N12" s="2">
        <f>SUMIFS(Data[Revenue],Data[Store Name],M12,Data[Month],CurMonth,Data[Year],CurYear)</f>
        <v>18237.980000000003</v>
      </c>
      <c r="O12" s="2">
        <f>SUMIFS(Data[Revenue],Data[Month],PrevMonth,Data[Year],PMYear,Data[Store Name],M12)</f>
        <v>27284.929999999993</v>
      </c>
      <c r="P12" s="10">
        <f>(N12/O12)-1</f>
        <v>-0.3315731431233282</v>
      </c>
      <c r="Q12">
        <f t="shared" si="0"/>
        <v>3</v>
      </c>
      <c r="S12">
        <v>10</v>
      </c>
      <c r="T12" t="str">
        <f t="shared" si="1"/>
        <v>Michigan Ave</v>
      </c>
      <c r="U12" t="str">
        <f>VLOOKUP(T12,Data[[Store Name]:[Region]],2,0)</f>
        <v>Chicago</v>
      </c>
      <c r="V12" s="2">
        <f>INDEX($M$3:$P$12,MATCH($N3,$N$3:$N$12,0),2)</f>
        <v>10103.540000000001</v>
      </c>
      <c r="W12" s="10">
        <f t="shared" si="2"/>
        <v>-0.23788412342481746</v>
      </c>
      <c r="X12" s="2">
        <f>IF($U12=Region,V12,0)</f>
        <v>10103.540000000001</v>
      </c>
      <c r="Y12" s="10">
        <f>IF($U12=Region,W12,0)</f>
        <v>-0.23788412342481746</v>
      </c>
      <c r="AA12" t="s">
        <v>32</v>
      </c>
      <c r="AB12" s="2">
        <f>SUMIFS(Data[Revenue],Data[Region],Region,Data[Product Name],$AA12,Data[Year],CurYear,Data[Month],CurMonth)</f>
        <v>802.27</v>
      </c>
      <c r="AC12" s="2">
        <f>SUMIFS(Data[Revenue],Data[Region],Region,Data[Product Name],$AA12,Data[Year],PMYear,Data[Month],PrevMonth)</f>
        <v>824.25</v>
      </c>
      <c r="AD12" s="2">
        <f t="shared" si="3"/>
        <v>-21.980000000000018</v>
      </c>
      <c r="AE12">
        <f t="shared" si="4"/>
        <v>19</v>
      </c>
      <c r="AF12">
        <f t="shared" si="5"/>
        <v>16</v>
      </c>
      <c r="AH12">
        <v>1</v>
      </c>
      <c r="AI12" t="str">
        <f>INDEX($AA$3:$AD$36,MATCH(AH12,$AF$3:$AF$36,0),MATCH(AI$2,$AA$2:$AD$2,0))</f>
        <v>Lego Bricks</v>
      </c>
      <c r="AJ12" s="2">
        <f>INDEX($AA$3:$AD$36,MATCH(AH12,$AF$3:$AF$36,0),MATCH(AJ$2,$AA$2:$AD$2,0))</f>
        <v>8797.8000000000011</v>
      </c>
      <c r="AK12" s="2">
        <f>INDEX($AA$3:$AD$36,MATCH(AH12,$AF$3:$AF$36,0),MATCH(AK$2,$AA$2:$AD$2,0))</f>
        <v>-4478.8799999999992</v>
      </c>
    </row>
    <row r="13" spans="1:37" x14ac:dyDescent="0.25">
      <c r="A13" s="6" t="s">
        <v>120</v>
      </c>
      <c r="B13" s="25" t="str">
        <f>VLOOKUP(CurMonth,G3:H14,2)&amp;" "&amp;CurYear</f>
        <v>SEP 2021</v>
      </c>
      <c r="G13">
        <v>11</v>
      </c>
      <c r="H13" t="s">
        <v>103</v>
      </c>
      <c r="I13" s="2">
        <f>SUMIFS(Data[[Revenue]:[Revenue]],Data[[Region]:[Region]],Region,Data[[Month]:[Month]],'Data Prep'!$G13,Data[[Year]:[Year]],'Data Prep'!I$2)</f>
        <v>73732.52</v>
      </c>
      <c r="J13" s="2" t="e">
        <f>IF(G13&gt;CurMonth,NA(),SUMIFS(Data[[Revenue]:[Revenue]],Data[[Region]:[Region]],Region,Data[[Month]:[Month]],'Data Prep'!$G13,Data[[Year]:[Year]],'Data Prep'!J$2))</f>
        <v>#N/A</v>
      </c>
      <c r="K13" s="2" t="e">
        <f>IF(G13=CurMonth,J13,NA())</f>
        <v>#N/A</v>
      </c>
      <c r="AA13" t="s">
        <v>70</v>
      </c>
      <c r="AB13" s="2">
        <f>SUMIFS(Data[Revenue],Data[Region],Region,Data[Product Name],$AA13,Data[Year],CurYear,Data[Month],CurMonth)</f>
        <v>0</v>
      </c>
      <c r="AC13" s="2">
        <f>SUMIFS(Data[Revenue],Data[Region],Region,Data[Product Name],$AA13,Data[Year],PMYear,Data[Month],PrevMonth)</f>
        <v>0</v>
      </c>
      <c r="AD13" s="2">
        <f t="shared" si="3"/>
        <v>0</v>
      </c>
      <c r="AE13">
        <f t="shared" si="4"/>
        <v>15.5</v>
      </c>
      <c r="AF13">
        <f t="shared" si="5"/>
        <v>19.5</v>
      </c>
      <c r="AH13">
        <v>2</v>
      </c>
      <c r="AI13" t="str">
        <f t="shared" ref="AI13:AI17" si="8">INDEX($AA$3:$AD$36,MATCH(AH13,$AF$3:$AF$36,0),MATCH(AI$2,$AA$2:$AD$2,0))</f>
        <v>Colorbuds</v>
      </c>
      <c r="AJ13" s="2">
        <f t="shared" ref="AJ13:AJ17" si="9">INDEX($AA$3:$AD$36,MATCH(AH13,$AF$3:$AF$36,0),MATCH(AJ$2,$AA$2:$AD$2,0))</f>
        <v>2143.5700000000002</v>
      </c>
      <c r="AK13" s="2">
        <f t="shared" ref="AK13:AK17" si="10">INDEX($AA$3:$AD$36,MATCH(AH13,$AF$3:$AF$36,0),MATCH(AK$2,$AA$2:$AD$2,0))</f>
        <v>-1723.85</v>
      </c>
    </row>
    <row r="14" spans="1:37" x14ac:dyDescent="0.25">
      <c r="D14" s="9"/>
      <c r="G14">
        <v>12</v>
      </c>
      <c r="H14" t="s">
        <v>104</v>
      </c>
      <c r="I14" s="2">
        <f>SUMIFS(Data[[Revenue]:[Revenue]],Data[[Region]:[Region]],Region,Data[[Month]:[Month]],'Data Prep'!$G14,Data[[Year]:[Year]],'Data Prep'!I$2)</f>
        <v>93356.910000000018</v>
      </c>
      <c r="J14" s="2" t="e">
        <f>IF(G14&gt;CurMonth,NA(),SUMIFS(Data[[Revenue]:[Revenue]],Data[[Region]:[Region]],Region,Data[[Month]:[Month]],'Data Prep'!$G14,Data[[Year]:[Year]],'Data Prep'!J$2))</f>
        <v>#N/A</v>
      </c>
      <c r="K14" s="2" t="e">
        <f>IF(G14=CurMonth,J14,NA())</f>
        <v>#N/A</v>
      </c>
      <c r="AA14" t="s">
        <v>38</v>
      </c>
      <c r="AB14" s="2">
        <f>SUMIFS(Data[Revenue],Data[Region],Region,Data[Product Name],$AA14,Data[Year],CurYear,Data[Month],CurMonth)</f>
        <v>19.98</v>
      </c>
      <c r="AC14" s="2">
        <f>SUMIFS(Data[Revenue],Data[Region],Region,Data[Product Name],$AA14,Data[Year],PMYear,Data[Month],PrevMonth)</f>
        <v>149.85</v>
      </c>
      <c r="AD14" s="2">
        <f t="shared" si="3"/>
        <v>-129.87</v>
      </c>
      <c r="AE14">
        <f t="shared" si="4"/>
        <v>20</v>
      </c>
      <c r="AF14">
        <f t="shared" si="5"/>
        <v>15</v>
      </c>
      <c r="AH14">
        <v>3</v>
      </c>
      <c r="AI14" t="str">
        <f t="shared" si="8"/>
        <v>Deck Of Cards</v>
      </c>
      <c r="AJ14" s="2">
        <f t="shared" si="9"/>
        <v>1523.8199999999997</v>
      </c>
      <c r="AK14" s="2">
        <f t="shared" si="10"/>
        <v>-1432.9500000000003</v>
      </c>
    </row>
    <row r="15" spans="1:37" x14ac:dyDescent="0.25">
      <c r="A15" s="6"/>
      <c r="AA15" t="s">
        <v>31</v>
      </c>
      <c r="AB15" s="2">
        <f>SUMIFS(Data[Revenue],Data[Region],Region,Data[Product Name],$AA15,Data[Year],CurYear,Data[Month],CurMonth)</f>
        <v>2658.67</v>
      </c>
      <c r="AC15" s="2">
        <f>SUMIFS(Data[Revenue],Data[Region],Region,Data[Product Name],$AA15,Data[Year],PMYear,Data[Month],PrevMonth)</f>
        <v>2358.8199999999997</v>
      </c>
      <c r="AD15" s="2">
        <f t="shared" si="3"/>
        <v>299.85000000000036</v>
      </c>
      <c r="AE15">
        <f t="shared" si="4"/>
        <v>5</v>
      </c>
      <c r="AF15">
        <f t="shared" si="5"/>
        <v>30</v>
      </c>
      <c r="AH15">
        <v>4</v>
      </c>
      <c r="AI15" t="str">
        <f t="shared" si="8"/>
        <v>Etch A Sketch</v>
      </c>
      <c r="AJ15" s="2">
        <f t="shared" si="9"/>
        <v>482.77</v>
      </c>
      <c r="AK15" s="2">
        <f t="shared" si="10"/>
        <v>-1238.4099999999999</v>
      </c>
    </row>
    <row r="16" spans="1:37" x14ac:dyDescent="0.25">
      <c r="AA16" t="s">
        <v>15</v>
      </c>
      <c r="AB16" s="2">
        <f>SUMIFS(Data[Revenue],Data[Region],Region,Data[Product Name],$AA16,Data[Year],CurYear,Data[Month],CurMonth)</f>
        <v>8797.8000000000011</v>
      </c>
      <c r="AC16" s="2">
        <f>SUMIFS(Data[Revenue],Data[Region],Region,Data[Product Name],$AA16,Data[Year],PMYear,Data[Month],PrevMonth)</f>
        <v>13276.68</v>
      </c>
      <c r="AD16" s="2">
        <f t="shared" si="3"/>
        <v>-4478.8799999999992</v>
      </c>
      <c r="AE16">
        <f t="shared" si="4"/>
        <v>34</v>
      </c>
      <c r="AF16">
        <f t="shared" si="5"/>
        <v>1</v>
      </c>
      <c r="AH16">
        <v>5</v>
      </c>
      <c r="AI16" t="str">
        <f t="shared" si="8"/>
        <v>Plush Pony</v>
      </c>
      <c r="AJ16" s="2">
        <f t="shared" si="9"/>
        <v>59.97</v>
      </c>
      <c r="AK16" s="2">
        <f t="shared" si="10"/>
        <v>-999.49999999999977</v>
      </c>
    </row>
    <row r="17" spans="27:37" x14ac:dyDescent="0.25">
      <c r="AA17" t="s">
        <v>42</v>
      </c>
      <c r="AB17" s="2">
        <f>SUMIFS(Data[Revenue],Data[Region],Region,Data[Product Name],$AA17,Data[Year],CurYear,Data[Month],CurMonth)</f>
        <v>5212.7400000000007</v>
      </c>
      <c r="AC17" s="2">
        <f>SUMIFS(Data[Revenue],Data[Region],Region,Data[Product Name],$AA17,Data[Year],PMYear,Data[Month],PrevMonth)</f>
        <v>5660.4600000000009</v>
      </c>
      <c r="AD17" s="2">
        <f t="shared" si="3"/>
        <v>-447.72000000000025</v>
      </c>
      <c r="AE17">
        <f t="shared" si="4"/>
        <v>23</v>
      </c>
      <c r="AF17">
        <f t="shared" si="5"/>
        <v>12</v>
      </c>
      <c r="AH17">
        <v>6</v>
      </c>
      <c r="AI17" t="str">
        <f t="shared" si="8"/>
        <v>Toy Robot</v>
      </c>
      <c r="AJ17" s="2">
        <f t="shared" si="9"/>
        <v>1351.48</v>
      </c>
      <c r="AK17" s="2">
        <f t="shared" si="10"/>
        <v>-909.65000000000009</v>
      </c>
    </row>
    <row r="18" spans="27:37" x14ac:dyDescent="0.25">
      <c r="AA18" t="s">
        <v>66</v>
      </c>
      <c r="AB18" s="2">
        <f>SUMIFS(Data[Revenue],Data[Region],Region,Data[Product Name],$AA18,Data[Year],CurYear,Data[Month],CurMonth)</f>
        <v>0</v>
      </c>
      <c r="AC18" s="2">
        <f>SUMIFS(Data[Revenue],Data[Region],Region,Data[Product Name],$AA18,Data[Year],PMYear,Data[Month],PrevMonth)</f>
        <v>0</v>
      </c>
      <c r="AD18" s="2">
        <f t="shared" si="3"/>
        <v>0</v>
      </c>
      <c r="AE18">
        <f t="shared" si="4"/>
        <v>15.5</v>
      </c>
      <c r="AF18">
        <f t="shared" si="5"/>
        <v>19.5</v>
      </c>
    </row>
    <row r="19" spans="27:37" x14ac:dyDescent="0.25">
      <c r="AA19" t="s">
        <v>71</v>
      </c>
      <c r="AB19" s="2">
        <f>SUMIFS(Data[Revenue],Data[Region],Region,Data[Product Name],$AA19,Data[Year],CurYear,Data[Month],CurMonth)</f>
        <v>0</v>
      </c>
      <c r="AC19" s="2">
        <f>SUMIFS(Data[Revenue],Data[Region],Region,Data[Product Name],$AA19,Data[Year],PMYear,Data[Month],PrevMonth)</f>
        <v>0</v>
      </c>
      <c r="AD19" s="2">
        <f t="shared" si="3"/>
        <v>0</v>
      </c>
      <c r="AE19">
        <f t="shared" si="4"/>
        <v>15.5</v>
      </c>
      <c r="AF19">
        <f t="shared" si="5"/>
        <v>19.5</v>
      </c>
    </row>
    <row r="20" spans="27:37" x14ac:dyDescent="0.25">
      <c r="AA20" t="s">
        <v>19</v>
      </c>
      <c r="AB20" s="2">
        <f>SUMIFS(Data[Revenue],Data[Region],Region,Data[Product Name],$AA20,Data[Year],CurYear,Data[Month],CurMonth)</f>
        <v>319.83999999999997</v>
      </c>
      <c r="AC20" s="2">
        <f>SUMIFS(Data[Revenue],Data[Region],Region,Data[Product Name],$AA20,Data[Year],PMYear,Data[Month],PrevMonth)</f>
        <v>259.87</v>
      </c>
      <c r="AD20" s="2">
        <f t="shared" si="3"/>
        <v>59.96999999999997</v>
      </c>
      <c r="AE20">
        <f t="shared" si="4"/>
        <v>10</v>
      </c>
      <c r="AF20">
        <f t="shared" si="5"/>
        <v>25</v>
      </c>
    </row>
    <row r="21" spans="27:37" x14ac:dyDescent="0.25">
      <c r="AA21" t="s">
        <v>41</v>
      </c>
      <c r="AB21" s="2">
        <f>SUMIFS(Data[Revenue],Data[Region],Region,Data[Product Name],$AA21,Data[Year],CurYear,Data[Month],CurMonth)</f>
        <v>909.09</v>
      </c>
      <c r="AC21" s="2">
        <f>SUMIFS(Data[Revenue],Data[Region],Region,Data[Product Name],$AA21,Data[Year],PMYear,Data[Month],PrevMonth)</f>
        <v>819.18000000000006</v>
      </c>
      <c r="AD21" s="2">
        <f t="shared" si="3"/>
        <v>89.909999999999968</v>
      </c>
      <c r="AE21">
        <f t="shared" si="4"/>
        <v>8</v>
      </c>
      <c r="AF21">
        <f t="shared" si="5"/>
        <v>27</v>
      </c>
    </row>
    <row r="22" spans="27:37" x14ac:dyDescent="0.25">
      <c r="AA22" t="s">
        <v>10</v>
      </c>
      <c r="AB22" s="2">
        <f>SUMIFS(Data[Revenue],Data[Region],Region,Data[Product Name],$AA22,Data[Year],CurYear,Data[Month],CurMonth)</f>
        <v>4837.58</v>
      </c>
      <c r="AC22" s="2">
        <f>SUMIFS(Data[Revenue],Data[Region],Region,Data[Product Name],$AA22,Data[Year],PMYear,Data[Month],PrevMonth)</f>
        <v>2278.8599999999997</v>
      </c>
      <c r="AD22" s="2">
        <f t="shared" si="3"/>
        <v>2558.7200000000003</v>
      </c>
      <c r="AE22">
        <f t="shared" si="4"/>
        <v>1</v>
      </c>
      <c r="AF22">
        <f t="shared" si="5"/>
        <v>34</v>
      </c>
    </row>
    <row r="23" spans="27:37" x14ac:dyDescent="0.25">
      <c r="AA23" t="s">
        <v>27</v>
      </c>
      <c r="AB23" s="2">
        <f>SUMIFS(Data[Revenue],Data[Region],Region,Data[Product Name],$AA23,Data[Year],CurYear,Data[Month],CurMonth)</f>
        <v>1225.9000000000001</v>
      </c>
      <c r="AC23" s="2">
        <f>SUMIFS(Data[Revenue],Data[Region],Region,Data[Product Name],$AA23,Data[Year],PMYear,Data[Month],PrevMonth)</f>
        <v>1770.0800000000002</v>
      </c>
      <c r="AD23" s="2">
        <f t="shared" si="3"/>
        <v>-544.18000000000006</v>
      </c>
      <c r="AE23">
        <f t="shared" si="4"/>
        <v>26</v>
      </c>
      <c r="AF23">
        <f t="shared" si="5"/>
        <v>9</v>
      </c>
    </row>
    <row r="24" spans="27:37" x14ac:dyDescent="0.25">
      <c r="AA24" t="s">
        <v>11</v>
      </c>
      <c r="AB24" s="2">
        <f>SUMIFS(Data[Revenue],Data[Region],Region,Data[Product Name],$AA24,Data[Year],CurYear,Data[Month],CurMonth)</f>
        <v>144.71</v>
      </c>
      <c r="AC24" s="2">
        <f>SUMIFS(Data[Revenue],Data[Region],Region,Data[Product Name],$AA24,Data[Year],PMYear,Data[Month],PrevMonth)</f>
        <v>733.53</v>
      </c>
      <c r="AD24" s="2">
        <f t="shared" si="3"/>
        <v>-588.81999999999994</v>
      </c>
      <c r="AE24">
        <f t="shared" si="4"/>
        <v>27</v>
      </c>
      <c r="AF24">
        <f t="shared" si="5"/>
        <v>8</v>
      </c>
    </row>
    <row r="25" spans="27:37" x14ac:dyDescent="0.25">
      <c r="AA25" t="s">
        <v>26</v>
      </c>
      <c r="AB25" s="2">
        <f>SUMIFS(Data[Revenue],Data[Region],Region,Data[Product Name],$AA25,Data[Year],CurYear,Data[Month],CurMonth)</f>
        <v>3378.3099999999995</v>
      </c>
      <c r="AC25" s="2">
        <f>SUMIFS(Data[Revenue],Data[Region],Region,Data[Product Name],$AA25,Data[Year],PMYear,Data[Month],PrevMonth)</f>
        <v>2298.85</v>
      </c>
      <c r="AD25" s="2">
        <f t="shared" si="3"/>
        <v>1079.4599999999996</v>
      </c>
      <c r="AE25">
        <f t="shared" si="4"/>
        <v>2</v>
      </c>
      <c r="AF25">
        <f t="shared" si="5"/>
        <v>33</v>
      </c>
    </row>
    <row r="26" spans="27:37" x14ac:dyDescent="0.25">
      <c r="AA26" t="s">
        <v>6</v>
      </c>
      <c r="AB26" s="2">
        <f>SUMIFS(Data[Revenue],Data[Region],Region,Data[Product Name],$AA26,Data[Year],CurYear,Data[Month],CurMonth)</f>
        <v>1762.04</v>
      </c>
      <c r="AC26" s="2">
        <f>SUMIFS(Data[Revenue],Data[Region],Region,Data[Product Name],$AA26,Data[Year],PMYear,Data[Month],PrevMonth)</f>
        <v>1708.1000000000001</v>
      </c>
      <c r="AD26" s="2">
        <f t="shared" si="3"/>
        <v>53.939999999999827</v>
      </c>
      <c r="AE26">
        <f t="shared" si="4"/>
        <v>11</v>
      </c>
      <c r="AF26">
        <f t="shared" si="5"/>
        <v>24</v>
      </c>
    </row>
    <row r="27" spans="27:37" x14ac:dyDescent="0.25">
      <c r="AA27" t="s">
        <v>67</v>
      </c>
      <c r="AB27" s="2">
        <f>SUMIFS(Data[Revenue],Data[Region],Region,Data[Product Name],$AA27,Data[Year],CurYear,Data[Month],CurMonth)</f>
        <v>0</v>
      </c>
      <c r="AC27" s="2">
        <f>SUMIFS(Data[Revenue],Data[Region],Region,Data[Product Name],$AA27,Data[Year],PMYear,Data[Month],PrevMonth)</f>
        <v>0</v>
      </c>
      <c r="AD27" s="2">
        <f t="shared" si="3"/>
        <v>0</v>
      </c>
      <c r="AE27">
        <f t="shared" si="4"/>
        <v>15.5</v>
      </c>
      <c r="AF27">
        <f t="shared" si="5"/>
        <v>19.5</v>
      </c>
    </row>
    <row r="28" spans="27:37" x14ac:dyDescent="0.25">
      <c r="AA28" t="s">
        <v>16</v>
      </c>
      <c r="AB28" s="2">
        <f>SUMIFS(Data[Revenue],Data[Region],Region,Data[Product Name],$AA28,Data[Year],CurYear,Data[Month],CurMonth)</f>
        <v>207.84</v>
      </c>
      <c r="AC28" s="2">
        <f>SUMIFS(Data[Revenue],Data[Region],Region,Data[Product Name],$AA28,Data[Year],PMYear,Data[Month],PrevMonth)</f>
        <v>675.48</v>
      </c>
      <c r="AD28" s="2">
        <f t="shared" si="3"/>
        <v>-467.64</v>
      </c>
      <c r="AE28">
        <f t="shared" si="4"/>
        <v>24</v>
      </c>
      <c r="AF28">
        <f t="shared" si="5"/>
        <v>11</v>
      </c>
    </row>
    <row r="29" spans="27:37" x14ac:dyDescent="0.25">
      <c r="AA29" t="s">
        <v>23</v>
      </c>
      <c r="AB29" s="2">
        <f>SUMIFS(Data[Revenue],Data[Region],Region,Data[Product Name],$AA29,Data[Year],CurYear,Data[Month],CurMonth)</f>
        <v>1351.48</v>
      </c>
      <c r="AC29" s="2">
        <f>SUMIFS(Data[Revenue],Data[Region],Region,Data[Product Name],$AA29,Data[Year],PMYear,Data[Month],PrevMonth)</f>
        <v>2261.13</v>
      </c>
      <c r="AD29" s="2">
        <f t="shared" si="3"/>
        <v>-909.65000000000009</v>
      </c>
      <c r="AE29">
        <f t="shared" si="4"/>
        <v>29</v>
      </c>
      <c r="AF29">
        <f t="shared" si="5"/>
        <v>6</v>
      </c>
    </row>
    <row r="30" spans="27:37" x14ac:dyDescent="0.25">
      <c r="AA30" t="s">
        <v>29</v>
      </c>
      <c r="AB30" s="2">
        <f>SUMIFS(Data[Revenue],Data[Region],Region,Data[Product Name],$AA30,Data[Year],CurYear,Data[Month],CurMonth)</f>
        <v>0</v>
      </c>
      <c r="AC30" s="2">
        <f>SUMIFS(Data[Revenue],Data[Region],Region,Data[Product Name],$AA30,Data[Year],PMYear,Data[Month],PrevMonth)</f>
        <v>223.72000000000003</v>
      </c>
      <c r="AD30" s="2">
        <f t="shared" si="3"/>
        <v>-223.72000000000003</v>
      </c>
      <c r="AE30">
        <f t="shared" si="4"/>
        <v>21</v>
      </c>
      <c r="AF30">
        <f t="shared" si="5"/>
        <v>14</v>
      </c>
    </row>
    <row r="31" spans="27:37" x14ac:dyDescent="0.25">
      <c r="AA31" t="s">
        <v>20</v>
      </c>
      <c r="AB31" s="2">
        <f>SUMIFS(Data[Revenue],Data[Region],Region,Data[Product Name],$AA31,Data[Year],CurYear,Data[Month],CurMonth)</f>
        <v>2143.5700000000002</v>
      </c>
      <c r="AC31" s="2">
        <f>SUMIFS(Data[Revenue],Data[Region],Region,Data[Product Name],$AA31,Data[Year],PMYear,Data[Month],PrevMonth)</f>
        <v>3867.42</v>
      </c>
      <c r="AD31" s="2">
        <f t="shared" si="3"/>
        <v>-1723.85</v>
      </c>
      <c r="AE31">
        <f t="shared" si="4"/>
        <v>33</v>
      </c>
      <c r="AF31">
        <f t="shared" si="5"/>
        <v>2</v>
      </c>
    </row>
    <row r="32" spans="27:37" x14ac:dyDescent="0.25">
      <c r="AA32" t="s">
        <v>37</v>
      </c>
      <c r="AB32" s="2">
        <f>SUMIFS(Data[Revenue],Data[Region],Region,Data[Product Name],$AA32,Data[Year],CurYear,Data[Month],CurMonth)</f>
        <v>949.61999999999989</v>
      </c>
      <c r="AC32" s="2">
        <f>SUMIFS(Data[Revenue],Data[Region],Region,Data[Product Name],$AA32,Data[Year],PMYear,Data[Month],PrevMonth)</f>
        <v>899.63999999999987</v>
      </c>
      <c r="AD32" s="2">
        <f t="shared" si="3"/>
        <v>49.980000000000018</v>
      </c>
      <c r="AE32">
        <f t="shared" si="4"/>
        <v>12</v>
      </c>
      <c r="AF32">
        <f t="shared" si="5"/>
        <v>23</v>
      </c>
    </row>
    <row r="33" spans="27:32" x14ac:dyDescent="0.25">
      <c r="AA33" t="s">
        <v>18</v>
      </c>
      <c r="AB33" s="2">
        <f>SUMIFS(Data[Revenue],Data[Region],Region,Data[Product Name],$AA33,Data[Year],CurYear,Data[Month],CurMonth)</f>
        <v>506.61</v>
      </c>
      <c r="AC33" s="2">
        <f>SUMIFS(Data[Revenue],Data[Region],Region,Data[Product Name],$AA33,Data[Year],PMYear,Data[Month],PrevMonth)</f>
        <v>337.74</v>
      </c>
      <c r="AD33" s="2">
        <f t="shared" si="3"/>
        <v>168.87</v>
      </c>
      <c r="AE33">
        <f t="shared" si="4"/>
        <v>7</v>
      </c>
      <c r="AF33">
        <f t="shared" si="5"/>
        <v>28</v>
      </c>
    </row>
    <row r="34" spans="27:32" x14ac:dyDescent="0.25">
      <c r="AA34" t="s">
        <v>30</v>
      </c>
      <c r="AB34" s="2">
        <f>SUMIFS(Data[Revenue],Data[Region],Region,Data[Product Name],$AA34,Data[Year],CurYear,Data[Month],CurMonth)</f>
        <v>249.75</v>
      </c>
      <c r="AC34" s="2">
        <f>SUMIFS(Data[Revenue],Data[Region],Region,Data[Product Name],$AA34,Data[Year],PMYear,Data[Month],PrevMonth)</f>
        <v>0</v>
      </c>
      <c r="AD34" s="2">
        <f t="shared" si="3"/>
        <v>249.75</v>
      </c>
      <c r="AE34">
        <f t="shared" si="4"/>
        <v>6</v>
      </c>
      <c r="AF34">
        <f t="shared" si="5"/>
        <v>29</v>
      </c>
    </row>
    <row r="35" spans="27:32" x14ac:dyDescent="0.25">
      <c r="AA35" t="s">
        <v>39</v>
      </c>
      <c r="AB35" s="2">
        <f>SUMIFS(Data[Revenue],Data[Region],Region,Data[Product Name],$AA35,Data[Year],CurYear,Data[Month],CurMonth)</f>
        <v>59.97</v>
      </c>
      <c r="AC35" s="2">
        <f>SUMIFS(Data[Revenue],Data[Region],Region,Data[Product Name],$AA35,Data[Year],PMYear,Data[Month],PrevMonth)</f>
        <v>1059.4699999999998</v>
      </c>
      <c r="AD35" s="2">
        <f t="shared" si="3"/>
        <v>-999.49999999999977</v>
      </c>
      <c r="AE35">
        <f t="shared" si="4"/>
        <v>30</v>
      </c>
      <c r="AF35">
        <f t="shared" si="5"/>
        <v>5</v>
      </c>
    </row>
    <row r="36" spans="27:32" x14ac:dyDescent="0.25">
      <c r="AA36" t="s">
        <v>69</v>
      </c>
      <c r="AB36" s="2">
        <f>SUMIFS(Data[Revenue],Data[Region],Region,Data[Product Name],$AA36,Data[Year],CurYear,Data[Month],CurMonth)</f>
        <v>0</v>
      </c>
      <c r="AC36" s="2">
        <f>SUMIFS(Data[Revenue],Data[Region],Region,Data[Product Name],$AA36,Data[Year],PMYear,Data[Month],PrevMonth)</f>
        <v>0</v>
      </c>
      <c r="AD36" s="2">
        <f t="shared" si="3"/>
        <v>0</v>
      </c>
      <c r="AE36">
        <f t="shared" si="4"/>
        <v>15.5</v>
      </c>
      <c r="AF36">
        <f t="shared" si="5"/>
        <v>19.5</v>
      </c>
    </row>
  </sheetData>
  <sortState xmlns:xlrd2="http://schemas.microsoft.com/office/spreadsheetml/2017/richdata2" ref="M3:P12">
    <sortCondition ref="N2:N12"/>
  </sortState>
  <mergeCells count="9">
    <mergeCell ref="AH10:AK10"/>
    <mergeCell ref="S1:Y1"/>
    <mergeCell ref="AA1:AF1"/>
    <mergeCell ref="AH1:AK1"/>
    <mergeCell ref="A1:B1"/>
    <mergeCell ref="A7:B7"/>
    <mergeCell ref="D1:E1"/>
    <mergeCell ref="G1:J1"/>
    <mergeCell ref="M1:Q1"/>
  </mergeCells>
  <conditionalFormatting sqref="D14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E5:E6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CA05-9D75-4FD5-AF6F-9945DA930EF4}">
  <dimension ref="B4:Q27"/>
  <sheetViews>
    <sheetView showGridLines="0" showRowColHeaders="0" tabSelected="1" zoomScaleNormal="100" workbookViewId="0">
      <selection activeCell="C5" sqref="C5"/>
    </sheetView>
  </sheetViews>
  <sheetFormatPr defaultRowHeight="15" x14ac:dyDescent="0.25"/>
  <cols>
    <col min="1" max="1" width="4.7109375" customWidth="1"/>
    <col min="2" max="2" width="19.140625" customWidth="1"/>
    <col min="3" max="3" width="21.5703125" customWidth="1"/>
    <col min="12" max="12" width="4.140625" customWidth="1"/>
    <col min="13" max="13" width="3.85546875" customWidth="1"/>
    <col min="14" max="14" width="19.28515625" customWidth="1"/>
    <col min="15" max="15" width="12" customWidth="1"/>
    <col min="16" max="16" width="16.140625" customWidth="1"/>
  </cols>
  <sheetData>
    <row r="4" spans="2:17" ht="3.75" customHeight="1" x14ac:dyDescent="0.25"/>
    <row r="5" spans="2:17" ht="26.25" x14ac:dyDescent="0.4">
      <c r="B5" s="24" t="s">
        <v>119</v>
      </c>
      <c r="C5" s="26" t="s">
        <v>48</v>
      </c>
      <c r="D5" s="24" t="s">
        <v>121</v>
      </c>
      <c r="F5" s="24" t="str">
        <f>'Data Prep'!B13&amp;"?"</f>
        <v>SEP 2021?</v>
      </c>
    </row>
    <row r="8" spans="2:17" ht="15.75" x14ac:dyDescent="0.25">
      <c r="N8" s="22" t="s">
        <v>111</v>
      </c>
      <c r="O8" s="23" t="s">
        <v>46</v>
      </c>
      <c r="P8" s="23" t="s">
        <v>118</v>
      </c>
      <c r="Q8" s="17"/>
    </row>
    <row r="9" spans="2:17" ht="15.75" x14ac:dyDescent="0.25">
      <c r="N9" s="17" t="str">
        <f>'Data Prep'!AI3</f>
        <v>Nerf Gun</v>
      </c>
      <c r="O9" s="19">
        <f>'Data Prep'!AJ3</f>
        <v>4837.58</v>
      </c>
      <c r="P9" s="19">
        <f>'Data Prep'!AK3</f>
        <v>2558.7200000000003</v>
      </c>
      <c r="Q9" s="17"/>
    </row>
    <row r="10" spans="2:17" ht="15.75" x14ac:dyDescent="0.25">
      <c r="N10" s="17" t="str">
        <f>'Data Prep'!AI4</f>
        <v>Rubik's Cube</v>
      </c>
      <c r="O10" s="19">
        <f>'Data Prep'!AJ4</f>
        <v>3378.3099999999995</v>
      </c>
      <c r="P10" s="19">
        <f>'Data Prep'!AK4</f>
        <v>1079.4599999999996</v>
      </c>
      <c r="Q10" s="17"/>
    </row>
    <row r="11" spans="2:17" ht="15.75" x14ac:dyDescent="0.25">
      <c r="N11" s="17" t="str">
        <f>'Data Prep'!AI5</f>
        <v>Barrel O' Slime</v>
      </c>
      <c r="O11" s="19">
        <f>'Data Prep'!AJ5</f>
        <v>2581.5300000000002</v>
      </c>
      <c r="P11" s="19">
        <f>'Data Prep'!AK5</f>
        <v>746.12999999999988</v>
      </c>
      <c r="Q11" s="17"/>
    </row>
    <row r="12" spans="2:17" ht="15.75" x14ac:dyDescent="0.25">
      <c r="N12" s="17" t="str">
        <f>'Data Prep'!AI6</f>
        <v>Dinosaur Figures</v>
      </c>
      <c r="O12" s="19">
        <f>'Data Prep'!AJ6</f>
        <v>2510.4300000000003</v>
      </c>
      <c r="P12" s="19">
        <f>'Data Prep'!AK6</f>
        <v>639.60000000000014</v>
      </c>
      <c r="Q12" s="17"/>
    </row>
    <row r="13" spans="2:17" ht="15.75" x14ac:dyDescent="0.25">
      <c r="N13" s="17" t="str">
        <f>'Data Prep'!AI7</f>
        <v>Kids Makeup Kit</v>
      </c>
      <c r="O13" s="19">
        <f>'Data Prep'!AJ7</f>
        <v>2658.67</v>
      </c>
      <c r="P13" s="19">
        <f>'Data Prep'!AK7</f>
        <v>299.85000000000036</v>
      </c>
      <c r="Q13" s="17"/>
    </row>
    <row r="14" spans="2:17" ht="15.75" x14ac:dyDescent="0.25">
      <c r="N14" s="17" t="str">
        <f>'Data Prep'!AI8</f>
        <v>Classic Dominoes</v>
      </c>
      <c r="O14" s="19">
        <f>'Data Prep'!AJ8</f>
        <v>249.75</v>
      </c>
      <c r="P14" s="21">
        <f>'Data Prep'!AK8</f>
        <v>249.75</v>
      </c>
      <c r="Q14" s="17"/>
    </row>
    <row r="15" spans="2:17" ht="15.75" x14ac:dyDescent="0.25">
      <c r="N15" s="17"/>
      <c r="O15" s="17"/>
      <c r="P15" s="20">
        <f>SUM(P9:P14)</f>
        <v>5573.51</v>
      </c>
      <c r="Q15" s="17"/>
    </row>
    <row r="16" spans="2:17" ht="3.75" customHeight="1" x14ac:dyDescent="0.25">
      <c r="N16" s="17"/>
      <c r="O16" s="17"/>
      <c r="P16" s="17"/>
      <c r="Q16" s="17"/>
    </row>
    <row r="17" spans="14:17" ht="15.75" x14ac:dyDescent="0.25">
      <c r="N17" s="17"/>
      <c r="O17" s="17"/>
      <c r="P17" s="17"/>
      <c r="Q17" s="17"/>
    </row>
    <row r="18" spans="14:17" ht="15.75" x14ac:dyDescent="0.25">
      <c r="N18" s="17"/>
      <c r="O18" s="17"/>
      <c r="P18" s="17"/>
      <c r="Q18" s="17"/>
    </row>
    <row r="19" spans="14:17" ht="15.75" x14ac:dyDescent="0.25">
      <c r="N19" s="17"/>
      <c r="O19" s="17"/>
      <c r="P19" s="17"/>
      <c r="Q19" s="17"/>
    </row>
    <row r="20" spans="14:17" ht="15.75" x14ac:dyDescent="0.25">
      <c r="N20" s="22" t="s">
        <v>111</v>
      </c>
      <c r="O20" s="23" t="s">
        <v>46</v>
      </c>
      <c r="P20" s="23" t="s">
        <v>118</v>
      </c>
      <c r="Q20" s="17"/>
    </row>
    <row r="21" spans="14:17" ht="15.75" x14ac:dyDescent="0.25">
      <c r="N21" s="17" t="str">
        <f>'Data Prep'!AI12</f>
        <v>Lego Bricks</v>
      </c>
      <c r="O21" s="19">
        <f>'Data Prep'!AJ12</f>
        <v>8797.8000000000011</v>
      </c>
      <c r="P21" s="19">
        <f>'Data Prep'!AK12</f>
        <v>-4478.8799999999992</v>
      </c>
      <c r="Q21" s="17"/>
    </row>
    <row r="22" spans="14:17" ht="15.75" x14ac:dyDescent="0.25">
      <c r="N22" s="17" t="str">
        <f>'Data Prep'!AI13</f>
        <v>Colorbuds</v>
      </c>
      <c r="O22" s="19">
        <f>'Data Prep'!AJ13</f>
        <v>2143.5700000000002</v>
      </c>
      <c r="P22" s="19">
        <f>'Data Prep'!AK13</f>
        <v>-1723.85</v>
      </c>
      <c r="Q22" s="17"/>
    </row>
    <row r="23" spans="14:17" ht="15.75" x14ac:dyDescent="0.25">
      <c r="N23" s="17" t="str">
        <f>'Data Prep'!AI14</f>
        <v>Deck Of Cards</v>
      </c>
      <c r="O23" s="19">
        <f>'Data Prep'!AJ14</f>
        <v>1523.8199999999997</v>
      </c>
      <c r="P23" s="19">
        <f>'Data Prep'!AK14</f>
        <v>-1432.9500000000003</v>
      </c>
      <c r="Q23" s="17"/>
    </row>
    <row r="24" spans="14:17" ht="15.75" x14ac:dyDescent="0.25">
      <c r="N24" s="17" t="str">
        <f>'Data Prep'!AI15</f>
        <v>Etch A Sketch</v>
      </c>
      <c r="O24" s="19">
        <f>'Data Prep'!AJ15</f>
        <v>482.77</v>
      </c>
      <c r="P24" s="19">
        <f>'Data Prep'!AK15</f>
        <v>-1238.4099999999999</v>
      </c>
      <c r="Q24" s="17"/>
    </row>
    <row r="25" spans="14:17" ht="15.75" x14ac:dyDescent="0.25">
      <c r="N25" s="17" t="str">
        <f>'Data Prep'!AI16</f>
        <v>Plush Pony</v>
      </c>
      <c r="O25" s="19">
        <f>'Data Prep'!AJ16</f>
        <v>59.97</v>
      </c>
      <c r="P25" s="19">
        <f>'Data Prep'!AK16</f>
        <v>-999.49999999999977</v>
      </c>
      <c r="Q25" s="17"/>
    </row>
    <row r="26" spans="14:17" ht="15.75" x14ac:dyDescent="0.25">
      <c r="N26" s="17" t="str">
        <f>'Data Prep'!AI17</f>
        <v>Toy Robot</v>
      </c>
      <c r="O26" s="19">
        <f>'Data Prep'!AJ17</f>
        <v>1351.48</v>
      </c>
      <c r="P26" s="21">
        <f>'Data Prep'!AK17</f>
        <v>-909.65000000000009</v>
      </c>
      <c r="Q26" s="17"/>
    </row>
    <row r="27" spans="14:17" ht="15.75" x14ac:dyDescent="0.25">
      <c r="N27" s="17"/>
      <c r="O27" s="19"/>
      <c r="P27" s="20">
        <f>SUM(P21:P26)</f>
        <v>-10783.24</v>
      </c>
      <c r="Q27" s="17"/>
    </row>
  </sheetData>
  <sheetProtection sheet="1" objects="1" scenarios="1" selectLockedCells="1"/>
  <conditionalFormatting sqref="P9:P14">
    <cfRule type="colorScale" priority="2">
      <colorScale>
        <cfvo type="min"/>
        <cfvo type="max"/>
        <color theme="0"/>
        <color rgb="FF63BE7B"/>
      </colorScale>
    </cfRule>
  </conditionalFormatting>
  <conditionalFormatting sqref="P21:P26">
    <cfRule type="colorScale" priority="1">
      <colorScale>
        <cfvo type="min"/>
        <cfvo type="max"/>
        <color rgb="FFFF2F2F"/>
        <color theme="0"/>
      </colorScale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4B459-27DC-465D-A447-304B68A3763A}">
          <x14:formula1>
            <xm:f>'Data Prep'!$A$3:$A$5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workbookViewId="0">
      <selection sqref="A1:J269"/>
    </sheetView>
  </sheetViews>
  <sheetFormatPr defaultRowHeight="15" x14ac:dyDescent="0.25"/>
  <sheetData>
    <row r="1" spans="1:10" x14ac:dyDescent="0.25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25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25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25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25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25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25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25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25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25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25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25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25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25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25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25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25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25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25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25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25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25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25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25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25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25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25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25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25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25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25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25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25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25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25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25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25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25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25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25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25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25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25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25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25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25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25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25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25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25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25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25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25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25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25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25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25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25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25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25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25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25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25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25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25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25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25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25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25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25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25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25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25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25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25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25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25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25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25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25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25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25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25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25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25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25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25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25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25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25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25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25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25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25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25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25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25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25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25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25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25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25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25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25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25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25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25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25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25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25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25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25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25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25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25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25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25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25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25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25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25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25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25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25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25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25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25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25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25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25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25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25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25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25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25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25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25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25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25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25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25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25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25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25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25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25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25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25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25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25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25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25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25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25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25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25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25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25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25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25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25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25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25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25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25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25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25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25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25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25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25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25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25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25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25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25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25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25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25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25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25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25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25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25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25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25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25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25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25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25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25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25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25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25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25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25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25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25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25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25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25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25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25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25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25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25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25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25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25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25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25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25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25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25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25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25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25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25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25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25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25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25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25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25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25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25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25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25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25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25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25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25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25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25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25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25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25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25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25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25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25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25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25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25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25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25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25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25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25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25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25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25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25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25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25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25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25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25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25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25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25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25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25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25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25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25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25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25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25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workbookViewId="0">
      <selection sqref="A1:J260"/>
    </sheetView>
  </sheetViews>
  <sheetFormatPr defaultRowHeight="15" x14ac:dyDescent="0.25"/>
  <sheetData>
    <row r="1" spans="1:10" x14ac:dyDescent="0.25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25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25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25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25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25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25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25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25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25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25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25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25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25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25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25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25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25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25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25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25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25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25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25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25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25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25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25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25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25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25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25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25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25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25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25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25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25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25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25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25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25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25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25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25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25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25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25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25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25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25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25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25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25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25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25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25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25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25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25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25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25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25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25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25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25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25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25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25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25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25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25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25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25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25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25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25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25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25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25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25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25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25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25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25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25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25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25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25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25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25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25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25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25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25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25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25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25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25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25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25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25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25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25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25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25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25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25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25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25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25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25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25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25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25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25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25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25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25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25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25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25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25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25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25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25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25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25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25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25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25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25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25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25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25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25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25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25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25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25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25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25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25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25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25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25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25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25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25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25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25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25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25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25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25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25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25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25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25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25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25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25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25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25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25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25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25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25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25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25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25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25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25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25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25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25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25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25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25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25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25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25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25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25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25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25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25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25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25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25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25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25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25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25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25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25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25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25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25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25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25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25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25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25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25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25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25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25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25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25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25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25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25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25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25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25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25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25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25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25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25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25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25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25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25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25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25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25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25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25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25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25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25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25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25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25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25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25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25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25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25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25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25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25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25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25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25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25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25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25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25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25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25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25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25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25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25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25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25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25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Donna Cook</cp:lastModifiedBy>
  <dcterms:created xsi:type="dcterms:W3CDTF">2021-07-16T18:17:37Z</dcterms:created>
  <dcterms:modified xsi:type="dcterms:W3CDTF">2026-01-22T16:16:08Z</dcterms:modified>
</cp:coreProperties>
</file>